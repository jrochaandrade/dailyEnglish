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LISTENING" sheetId="2" r:id="rId6"/>
    <sheet state="visible" name="READING" sheetId="3" r:id="rId7"/>
    <sheet state="visible" name="WRITING" sheetId="4" r:id="rId8"/>
    <sheet state="visible" name="SPEAKING" sheetId="5" r:id="rId9"/>
    <sheet state="visible" name="MOCK TESTS" sheetId="6" r:id="rId10"/>
  </sheets>
  <definedNames/>
  <calcPr/>
</workbook>
</file>

<file path=xl/sharedStrings.xml><?xml version="1.0" encoding="utf-8"?>
<sst xmlns="http://schemas.openxmlformats.org/spreadsheetml/2006/main" count="3361" uniqueCount="496">
  <si>
    <t>Total of hours</t>
  </si>
  <si>
    <t>% Positive Mock Tests</t>
  </si>
  <si>
    <t>Can I book my test?</t>
  </si>
  <si>
    <t>Phase 01 - Preparation</t>
  </si>
  <si>
    <t>What you have to do</t>
  </si>
  <si>
    <t>English Levels</t>
  </si>
  <si>
    <t>Week 1</t>
  </si>
  <si>
    <t>Watch the most important class of the course</t>
  </si>
  <si>
    <t>90 hours: probably A1</t>
  </si>
  <si>
    <t>Watch the module 1</t>
  </si>
  <si>
    <t>180 hours: probably A2</t>
  </si>
  <si>
    <t>Week 2</t>
  </si>
  <si>
    <t>Watch the module 2</t>
  </si>
  <si>
    <t>350 hours: probably B1</t>
  </si>
  <si>
    <t>Week 3</t>
  </si>
  <si>
    <t>Watch the modules 3 and 4</t>
  </si>
  <si>
    <t>600 hours: probably B2</t>
  </si>
  <si>
    <t>Week 4</t>
  </si>
  <si>
    <t>Watch the modules 5 and 6</t>
  </si>
  <si>
    <t>900 hours: probably C1</t>
  </si>
  <si>
    <t>above 1800 hours: probably C2</t>
  </si>
  <si>
    <t>Phase 02 - Execution</t>
  </si>
  <si>
    <t>Status</t>
  </si>
  <si>
    <t>Current level</t>
  </si>
  <si>
    <t>Listening</t>
  </si>
  <si>
    <t>Reading</t>
  </si>
  <si>
    <t>Writing</t>
  </si>
  <si>
    <t>Speaking</t>
  </si>
  <si>
    <t>Phase 03 - Final sprint</t>
  </si>
  <si>
    <t>Mock Tests done</t>
  </si>
  <si>
    <t>90 days to the test</t>
  </si>
  <si>
    <t>45 days to the test</t>
  </si>
  <si>
    <t>21 days to the test</t>
  </si>
  <si>
    <t>15 days to the test</t>
  </si>
  <si>
    <t>ATTENTION:</t>
  </si>
  <si>
    <t>To use the spreadsheet, you DO NOT need to request access.</t>
  </si>
  <si>
    <t>You must make your copy (File &gt; Make a copy)</t>
  </si>
  <si>
    <t>or download it (File &gt; Download).</t>
  </si>
  <si>
    <t>This spreadsheet was designed for students only</t>
  </si>
  <si>
    <t>and cannot be shared without previous written permission.</t>
  </si>
  <si>
    <t>LISTENING RECORDS</t>
  </si>
  <si>
    <t>What did you do your exposure with?</t>
  </si>
  <si>
    <t>Exposure (minutes)</t>
  </si>
  <si>
    <t>Day 1</t>
  </si>
  <si>
    <t>Click to select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</si>
  <si>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</si>
  <si>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</si>
  <si>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</si>
  <si>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</si>
  <si>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</si>
  <si>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</si>
  <si>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</si>
  <si>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</si>
  <si>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</si>
  <si>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</si>
  <si>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</si>
  <si>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</si>
  <si>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</si>
  <si>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</si>
  <si>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</si>
  <si>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</si>
  <si>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</si>
  <si>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</si>
  <si>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</si>
  <si>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</si>
  <si>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</si>
  <si>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</si>
  <si>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</si>
  <si>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</si>
  <si>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</si>
  <si>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</si>
  <si>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</si>
  <si>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Week 5</t>
  </si>
  <si>
    <t>Day 29</t>
  </si>
  <si>
    <t>Day 30</t>
  </si>
  <si>
    <t>Day 31</t>
  </si>
  <si>
    <t>Day 32</t>
  </si>
  <si>
    <t>Day 33</t>
  </si>
  <si>
    <t>Day 34</t>
  </si>
  <si>
    <t>Day 35</t>
  </si>
  <si>
    <t>Week 6</t>
  </si>
  <si>
    <t>Day 36</t>
  </si>
  <si>
    <t>Day 37</t>
  </si>
  <si>
    <t>Day 38</t>
  </si>
  <si>
    <t>Day 39</t>
  </si>
  <si>
    <t>Day 40</t>
  </si>
  <si>
    <t>Day 41</t>
  </si>
  <si>
    <t>Day 42</t>
  </si>
  <si>
    <t>Week 7</t>
  </si>
  <si>
    <t>Day 43</t>
  </si>
  <si>
    <t>Day 44</t>
  </si>
  <si>
    <t>Day 45</t>
  </si>
  <si>
    <t>Day 46</t>
  </si>
  <si>
    <t>Day 47</t>
  </si>
  <si>
    <t>Day 48</t>
  </si>
  <si>
    <t>Day 49</t>
  </si>
  <si>
    <t>Week 8</t>
  </si>
  <si>
    <t>Day 50</t>
  </si>
  <si>
    <t>Day 51</t>
  </si>
  <si>
    <t>Day 52</t>
  </si>
  <si>
    <t>Day 53</t>
  </si>
  <si>
    <t>Day 54</t>
  </si>
  <si>
    <t>Day 55</t>
  </si>
  <si>
    <t>Day 56</t>
  </si>
  <si>
    <t>Week 9</t>
  </si>
  <si>
    <t>Day 57</t>
  </si>
  <si>
    <t>Day 58</t>
  </si>
  <si>
    <t>Day 59</t>
  </si>
  <si>
    <t>Day 60</t>
  </si>
  <si>
    <t>Day 61</t>
  </si>
  <si>
    <t>Day 62</t>
  </si>
  <si>
    <t>Day 63</t>
  </si>
  <si>
    <t>Week 10</t>
  </si>
  <si>
    <t>Day 64</t>
  </si>
  <si>
    <t>Day 65</t>
  </si>
  <si>
    <t>Day 66</t>
  </si>
  <si>
    <t>Day 67</t>
  </si>
  <si>
    <t>Day 68</t>
  </si>
  <si>
    <t>Day 69</t>
  </si>
  <si>
    <t>Day 70</t>
  </si>
  <si>
    <t>Week 11</t>
  </si>
  <si>
    <t>Day 71</t>
  </si>
  <si>
    <t>Day 72</t>
  </si>
  <si>
    <t>Day 73</t>
  </si>
  <si>
    <t>Day 74</t>
  </si>
  <si>
    <t>Day 75</t>
  </si>
  <si>
    <t>Day 76</t>
  </si>
  <si>
    <t>Day 77</t>
  </si>
  <si>
    <t>Week 12</t>
  </si>
  <si>
    <t>Day 78</t>
  </si>
  <si>
    <t>Day 79</t>
  </si>
  <si>
    <t>Day 80</t>
  </si>
  <si>
    <t>Day 81</t>
  </si>
  <si>
    <t>Day 82</t>
  </si>
  <si>
    <t>Day 83</t>
  </si>
  <si>
    <t>Day 84</t>
  </si>
  <si>
    <t>Week 13</t>
  </si>
  <si>
    <t>Day 85</t>
  </si>
  <si>
    <t>Day 86</t>
  </si>
  <si>
    <t>Day 87</t>
  </si>
  <si>
    <t>Day 88</t>
  </si>
  <si>
    <t>Day 89</t>
  </si>
  <si>
    <t>Day 90</t>
  </si>
  <si>
    <t>Day 91</t>
  </si>
  <si>
    <t>Week 14</t>
  </si>
  <si>
    <t>Day 92</t>
  </si>
  <si>
    <t>Day 93</t>
  </si>
  <si>
    <t>Day 94</t>
  </si>
  <si>
    <t>Day 95</t>
  </si>
  <si>
    <t>Day 96</t>
  </si>
  <si>
    <t>Day 97</t>
  </si>
  <si>
    <t>Day 98</t>
  </si>
  <si>
    <t>Week 15</t>
  </si>
  <si>
    <t>Day 99</t>
  </si>
  <si>
    <t>Day 100</t>
  </si>
  <si>
    <t>Day 101</t>
  </si>
  <si>
    <t>Day 102</t>
  </si>
  <si>
    <t>Day 103</t>
  </si>
  <si>
    <t>Day 104</t>
  </si>
  <si>
    <t>Day 105</t>
  </si>
  <si>
    <t>Week 16</t>
  </si>
  <si>
    <t>Day 106</t>
  </si>
  <si>
    <t>Day 107</t>
  </si>
  <si>
    <t>Day 108</t>
  </si>
  <si>
    <t>Day 109</t>
  </si>
  <si>
    <t>Day 110</t>
  </si>
  <si>
    <t>Day 111</t>
  </si>
  <si>
    <t>Day 112</t>
  </si>
  <si>
    <t>Week 17</t>
  </si>
  <si>
    <t>Day 113</t>
  </si>
  <si>
    <t>Day 114</t>
  </si>
  <si>
    <t>Day 115</t>
  </si>
  <si>
    <t>Day 116</t>
  </si>
  <si>
    <t>Day 117</t>
  </si>
  <si>
    <t>Day 118</t>
  </si>
  <si>
    <t>Day 119</t>
  </si>
  <si>
    <t>Week 18</t>
  </si>
  <si>
    <t>Day 120</t>
  </si>
  <si>
    <t>Day 121</t>
  </si>
  <si>
    <t>Day 122</t>
  </si>
  <si>
    <t>Day 123</t>
  </si>
  <si>
    <t>Day 124</t>
  </si>
  <si>
    <t>Day 125</t>
  </si>
  <si>
    <t>Day 126</t>
  </si>
  <si>
    <t>Week 19</t>
  </si>
  <si>
    <t>Day 127</t>
  </si>
  <si>
    <t>Day 128</t>
  </si>
  <si>
    <t>Day 129</t>
  </si>
  <si>
    <t>Day 130</t>
  </si>
  <si>
    <t>Day 131</t>
  </si>
  <si>
    <t>Day 132</t>
  </si>
  <si>
    <t>Day 133</t>
  </si>
  <si>
    <t>Week 20</t>
  </si>
  <si>
    <t>Day 134</t>
  </si>
  <si>
    <t>Day 135</t>
  </si>
  <si>
    <t>Day 136</t>
  </si>
  <si>
    <t>Day 137</t>
  </si>
  <si>
    <t>Day 138</t>
  </si>
  <si>
    <t>Day 139</t>
  </si>
  <si>
    <t>Day 140</t>
  </si>
  <si>
    <t>Week 21</t>
  </si>
  <si>
    <t>Day 141</t>
  </si>
  <si>
    <t>Day 142</t>
  </si>
  <si>
    <t>Day 143</t>
  </si>
  <si>
    <t>Day 144</t>
  </si>
  <si>
    <t>Day 145</t>
  </si>
  <si>
    <t>Day 146</t>
  </si>
  <si>
    <t>Day 147</t>
  </si>
  <si>
    <t>Week 22</t>
  </si>
  <si>
    <t>Day 148</t>
  </si>
  <si>
    <t>Day 149</t>
  </si>
  <si>
    <t>Day 150</t>
  </si>
  <si>
    <t>Day 151</t>
  </si>
  <si>
    <t>Day 152</t>
  </si>
  <si>
    <t>Day 153</t>
  </si>
  <si>
    <t>Day 154</t>
  </si>
  <si>
    <t>Week 23</t>
  </si>
  <si>
    <t>Day 155</t>
  </si>
  <si>
    <t>Day 156</t>
  </si>
  <si>
    <t>Day 157</t>
  </si>
  <si>
    <t>Day 158</t>
  </si>
  <si>
    <t>Day 159</t>
  </si>
  <si>
    <t>Day 160</t>
  </si>
  <si>
    <t>Day 161</t>
  </si>
  <si>
    <t>Week 24</t>
  </si>
  <si>
    <t>Day 162</t>
  </si>
  <si>
    <t>Day 163</t>
  </si>
  <si>
    <t>Day 164</t>
  </si>
  <si>
    <t>Day 165</t>
  </si>
  <si>
    <t>Day 166</t>
  </si>
  <si>
    <t>Day 167</t>
  </si>
  <si>
    <t>Day 168</t>
  </si>
  <si>
    <t>Week 25</t>
  </si>
  <si>
    <t>Day 169</t>
  </si>
  <si>
    <t>Day 170</t>
  </si>
  <si>
    <t>Day 171</t>
  </si>
  <si>
    <t>Day 172</t>
  </si>
  <si>
    <t>Day 173</t>
  </si>
  <si>
    <t>Day 174</t>
  </si>
  <si>
    <t>Day 175</t>
  </si>
  <si>
    <t>Week 26</t>
  </si>
  <si>
    <t>Day 176</t>
  </si>
  <si>
    <t>Day 177</t>
  </si>
  <si>
    <t>Day 178</t>
  </si>
  <si>
    <t>Day 179</t>
  </si>
  <si>
    <t>Day 180</t>
  </si>
  <si>
    <t>Day 181</t>
  </si>
  <si>
    <t>Day 182</t>
  </si>
  <si>
    <t>Week 27</t>
  </si>
  <si>
    <t>Day 183</t>
  </si>
  <si>
    <t>Day 184</t>
  </si>
  <si>
    <t>Day 185</t>
  </si>
  <si>
    <t>Day 186</t>
  </si>
  <si>
    <t>Day 187</t>
  </si>
  <si>
    <t>Day 188</t>
  </si>
  <si>
    <t>Day 189</t>
  </si>
  <si>
    <t>Week 28</t>
  </si>
  <si>
    <t>Day 190</t>
  </si>
  <si>
    <t>Day 191</t>
  </si>
  <si>
    <t>Day 192</t>
  </si>
  <si>
    <t>Day 193</t>
  </si>
  <si>
    <t>Day 194</t>
  </si>
  <si>
    <t>Day 195</t>
  </si>
  <si>
    <t>Day 196</t>
  </si>
  <si>
    <t>Week 29</t>
  </si>
  <si>
    <t>Day 197</t>
  </si>
  <si>
    <t>Day 198</t>
  </si>
  <si>
    <t>Day 199</t>
  </si>
  <si>
    <t>Day 200</t>
  </si>
  <si>
    <t>Day 201</t>
  </si>
  <si>
    <t>Day 202</t>
  </si>
  <si>
    <t>Day 203</t>
  </si>
  <si>
    <t>Week 30</t>
  </si>
  <si>
    <t>Day 204</t>
  </si>
  <si>
    <t>Day 205</t>
  </si>
  <si>
    <t>Day 206</t>
  </si>
  <si>
    <t>Day 207</t>
  </si>
  <si>
    <t>Day 208</t>
  </si>
  <si>
    <t>Day 209</t>
  </si>
  <si>
    <t>Day 210</t>
  </si>
  <si>
    <t>Week 31</t>
  </si>
  <si>
    <t>Day 211</t>
  </si>
  <si>
    <t>Day 212</t>
  </si>
  <si>
    <t>Day 213</t>
  </si>
  <si>
    <t>Day 214</t>
  </si>
  <si>
    <t>Day 215</t>
  </si>
  <si>
    <t>Day 216</t>
  </si>
  <si>
    <t>Day 217</t>
  </si>
  <si>
    <t>Week 32</t>
  </si>
  <si>
    <t>Day 218</t>
  </si>
  <si>
    <t>Day 219</t>
  </si>
  <si>
    <t>Day 220</t>
  </si>
  <si>
    <t>Day 221</t>
  </si>
  <si>
    <t>Day 222</t>
  </si>
  <si>
    <t>Day 223</t>
  </si>
  <si>
    <t>Day 224</t>
  </si>
  <si>
    <t>Week 33</t>
  </si>
  <si>
    <t>Day 225</t>
  </si>
  <si>
    <t>Day 226</t>
  </si>
  <si>
    <t>Day 227</t>
  </si>
  <si>
    <t>Day 228</t>
  </si>
  <si>
    <t>Day 229</t>
  </si>
  <si>
    <t>Day 230</t>
  </si>
  <si>
    <t>Day 231</t>
  </si>
  <si>
    <t>Week 34</t>
  </si>
  <si>
    <t>Day 232</t>
  </si>
  <si>
    <t>Day 233</t>
  </si>
  <si>
    <t>Day 234</t>
  </si>
  <si>
    <t>Day 235</t>
  </si>
  <si>
    <t>Day 236</t>
  </si>
  <si>
    <t>Day 237</t>
  </si>
  <si>
    <t>Day 238</t>
  </si>
  <si>
    <t>Week 35</t>
  </si>
  <si>
    <t>Day 239</t>
  </si>
  <si>
    <t>Day 240</t>
  </si>
  <si>
    <t>Day 241</t>
  </si>
  <si>
    <t>Day 242</t>
  </si>
  <si>
    <t>Day 243</t>
  </si>
  <si>
    <t>Day 244</t>
  </si>
  <si>
    <t>Day 245</t>
  </si>
  <si>
    <t>Week 36</t>
  </si>
  <si>
    <t>Day 246</t>
  </si>
  <si>
    <t>Day 247</t>
  </si>
  <si>
    <t>Day 248</t>
  </si>
  <si>
    <t>Day 249</t>
  </si>
  <si>
    <t>Day 250</t>
  </si>
  <si>
    <t>Day 251</t>
  </si>
  <si>
    <t>Day 252</t>
  </si>
  <si>
    <t>Week 37</t>
  </si>
  <si>
    <t>Day 253</t>
  </si>
  <si>
    <t>Day 254</t>
  </si>
  <si>
    <t>Day 255</t>
  </si>
  <si>
    <t>Day 256</t>
  </si>
  <si>
    <t>Day 257</t>
  </si>
  <si>
    <t>Day 258</t>
  </si>
  <si>
    <t>Day 259</t>
  </si>
  <si>
    <t>Week 38</t>
  </si>
  <si>
    <t>Day 260</t>
  </si>
  <si>
    <t>Day 261</t>
  </si>
  <si>
    <t>Day 262</t>
  </si>
  <si>
    <t>Day 263</t>
  </si>
  <si>
    <t>Day 264</t>
  </si>
  <si>
    <t>Day 265</t>
  </si>
  <si>
    <t>Day 266</t>
  </si>
  <si>
    <t>Week 39</t>
  </si>
  <si>
    <t>Day 267</t>
  </si>
  <si>
    <t>Day 268</t>
  </si>
  <si>
    <t>Day 269</t>
  </si>
  <si>
    <t>Day 270</t>
  </si>
  <si>
    <t>Day 271</t>
  </si>
  <si>
    <t>Day 272</t>
  </si>
  <si>
    <t>Day 273</t>
  </si>
  <si>
    <t>Week 40</t>
  </si>
  <si>
    <t>Day 274</t>
  </si>
  <si>
    <t>Day 275</t>
  </si>
  <si>
    <t>Day 276</t>
  </si>
  <si>
    <t>Day 277</t>
  </si>
  <si>
    <t>Day 278</t>
  </si>
  <si>
    <t>Day 279</t>
  </si>
  <si>
    <t>Day 280</t>
  </si>
  <si>
    <t>Week 41</t>
  </si>
  <si>
    <t>Day 281</t>
  </si>
  <si>
    <t>Day 282</t>
  </si>
  <si>
    <t>Day 283</t>
  </si>
  <si>
    <t>Day 284</t>
  </si>
  <si>
    <t>Day 285</t>
  </si>
  <si>
    <t>Day 286</t>
  </si>
  <si>
    <t>Day 287</t>
  </si>
  <si>
    <t>Week 42</t>
  </si>
  <si>
    <t>Day 288</t>
  </si>
  <si>
    <t>Day 289</t>
  </si>
  <si>
    <t>Day 290</t>
  </si>
  <si>
    <t>Day 291</t>
  </si>
  <si>
    <t>Day 292</t>
  </si>
  <si>
    <t>Day 293</t>
  </si>
  <si>
    <t>Day 294</t>
  </si>
  <si>
    <t>Week 43</t>
  </si>
  <si>
    <t>Day 295</t>
  </si>
  <si>
    <t>Day 296</t>
  </si>
  <si>
    <t>Day 297</t>
  </si>
  <si>
    <t>Day 298</t>
  </si>
  <si>
    <t>Day 299</t>
  </si>
  <si>
    <t>Day 300</t>
  </si>
  <si>
    <t>Day 301</t>
  </si>
  <si>
    <t>Week 44</t>
  </si>
  <si>
    <t>Day 302</t>
  </si>
  <si>
    <t>Day 303</t>
  </si>
  <si>
    <t>Day 304</t>
  </si>
  <si>
    <t>Day 305</t>
  </si>
  <si>
    <t>Day 306</t>
  </si>
  <si>
    <t>Day 307</t>
  </si>
  <si>
    <t>Day 308</t>
  </si>
  <si>
    <t>Week 45</t>
  </si>
  <si>
    <t>Day 309</t>
  </si>
  <si>
    <t>Day 310</t>
  </si>
  <si>
    <t>Day 311</t>
  </si>
  <si>
    <t>Day 312</t>
  </si>
  <si>
    <t>Day 313</t>
  </si>
  <si>
    <t>Day 314</t>
  </si>
  <si>
    <t>Day 315</t>
  </si>
  <si>
    <t>Week 46</t>
  </si>
  <si>
    <t>Day 316</t>
  </si>
  <si>
    <t>Day 317</t>
  </si>
  <si>
    <t>Day 318</t>
  </si>
  <si>
    <t>Day 319</t>
  </si>
  <si>
    <t>Day 320</t>
  </si>
  <si>
    <t>Day 321</t>
  </si>
  <si>
    <t>Day 322</t>
  </si>
  <si>
    <t>Week 47</t>
  </si>
  <si>
    <t>Day 323</t>
  </si>
  <si>
    <t>Day 324</t>
  </si>
  <si>
    <t>Day 325</t>
  </si>
  <si>
    <t>Day 326</t>
  </si>
  <si>
    <t>Day 327</t>
  </si>
  <si>
    <t>Day 328</t>
  </si>
  <si>
    <t>Day 329</t>
  </si>
  <si>
    <t>Week 48</t>
  </si>
  <si>
    <t>Day 330</t>
  </si>
  <si>
    <t>Day 331</t>
  </si>
  <si>
    <t>Day 332</t>
  </si>
  <si>
    <t>Day 333</t>
  </si>
  <si>
    <t>Day 334</t>
  </si>
  <si>
    <t>Day 335</t>
  </si>
  <si>
    <t>Day 336</t>
  </si>
  <si>
    <t>Week 49</t>
  </si>
  <si>
    <t>Day 337</t>
  </si>
  <si>
    <t>Day 338</t>
  </si>
  <si>
    <t>Day 339</t>
  </si>
  <si>
    <t>Day 340</t>
  </si>
  <si>
    <t>Day 341</t>
  </si>
  <si>
    <t>Day 342</t>
  </si>
  <si>
    <t>Day 343</t>
  </si>
  <si>
    <t>Week 50</t>
  </si>
  <si>
    <t>Day 344</t>
  </si>
  <si>
    <t>Day 345</t>
  </si>
  <si>
    <t>Day 346</t>
  </si>
  <si>
    <t>Day 347</t>
  </si>
  <si>
    <t>Day 348</t>
  </si>
  <si>
    <t>Day 349</t>
  </si>
  <si>
    <t>Day 350</t>
  </si>
  <si>
    <t>Week 51</t>
  </si>
  <si>
    <t>Day 351</t>
  </si>
  <si>
    <t>Day 352</t>
  </si>
  <si>
    <t>Day 353</t>
  </si>
  <si>
    <t>Day 354</t>
  </si>
  <si>
    <t>Day 355</t>
  </si>
  <si>
    <t>Day 356</t>
  </si>
  <si>
    <t>Day 357</t>
  </si>
  <si>
    <t>Week 52</t>
  </si>
  <si>
    <t>Day 358</t>
  </si>
  <si>
    <t>Day 359</t>
  </si>
  <si>
    <t>Day 360</t>
  </si>
  <si>
    <t>Day 361</t>
  </si>
  <si>
    <t>Day 362</t>
  </si>
  <si>
    <t>Day 363</t>
  </si>
  <si>
    <t>Day 364</t>
  </si>
  <si>
    <t>READING RECORDS</t>
  </si>
  <si>
    <t>WRITING RECORDS</t>
  </si>
  <si>
    <t>What did you do?</t>
  </si>
  <si>
    <t>SPEAKING RECORDS</t>
  </si>
  <si>
    <t>Whom did you do your training with?</t>
  </si>
  <si>
    <t>PHASE 03             FINAL SPRINT</t>
  </si>
  <si>
    <t>Mock tests done:</t>
  </si>
  <si>
    <t>Positive Mock Tests:</t>
  </si>
  <si>
    <t>Percentage of Positive Mock Tests:</t>
  </si>
  <si>
    <t>Took Mock Test?</t>
  </si>
  <si>
    <t>Listening Score</t>
  </si>
  <si>
    <t>Reading Score</t>
  </si>
  <si>
    <t>Writing Score</t>
  </si>
  <si>
    <t>Speaking Score</t>
  </si>
  <si>
    <t>Reached target score?</t>
  </si>
  <si>
    <t>write 1 if you did</t>
  </si>
  <si>
    <t>Week 09</t>
  </si>
  <si>
    <t>Week 08</t>
  </si>
  <si>
    <t>Week 07</t>
  </si>
  <si>
    <t>Week 06</t>
  </si>
  <si>
    <t>Week 05 - Mock Test 1</t>
  </si>
  <si>
    <t>Week 05 - Mock Test 2</t>
  </si>
  <si>
    <t>Week 04 - Mock Test 1</t>
  </si>
  <si>
    <t>Week 04 - Mock Test 2</t>
  </si>
  <si>
    <t>Week 03 - Mock Test 1</t>
  </si>
  <si>
    <t>Week 03 - Mock Test 2</t>
  </si>
  <si>
    <t>Week 03 - Mock Test 3</t>
  </si>
  <si>
    <t>Week 02 - Mock Test 1</t>
  </si>
  <si>
    <t>Week 02 - Mock test 2</t>
  </si>
  <si>
    <t>Week 02 - Mock test 3</t>
  </si>
  <si>
    <t>Week 02 - Mock test 4</t>
  </si>
  <si>
    <t>Week 02 - Mock test 5</t>
  </si>
  <si>
    <t>Week 01 - Mock test 1</t>
  </si>
  <si>
    <t>Week 01 - Mock test 2</t>
  </si>
  <si>
    <t>Week 01 - Mock test 3</t>
  </si>
  <si>
    <t>Week 01 - Mock test 4</t>
  </si>
  <si>
    <t>Week 01 - Mock test 5</t>
  </si>
  <si>
    <t>Number of mock tests</t>
  </si>
  <si>
    <t>Positive Mock Tests</t>
  </si>
  <si>
    <t>Positive mock tests percentage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</si>
</sst>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sz val="11.0"/>
      <color rgb="FFCCCCCC"/>
      <name val="Arial"/>
      <scheme val="minor"/>
    </font>
    <font/>
    <font>
      <sz val="14.0"/>
      <color rgb="FF00FFFF"/>
      <name val="Arial"/>
      <scheme val="minor"/>
    </font>
    <font>
      <color rgb="FFCCCCCC"/>
      <name val="Arial"/>
      <scheme val="minor"/>
    </font>
    <font>
      <sz val="14.0"/>
      <color rgb="FFCCCCCC"/>
      <name val="Arial"/>
      <scheme val="minor"/>
    </font>
    <font>
      <b/>
      <color rgb="FFCCCCCC"/>
      <name val="Arial"/>
      <scheme val="minor"/>
    </font>
    <font>
      <color rgb="FFCCCCCC"/>
      <name val="Roboto"/>
    </font>
    <font>
      <b/>
      <color rgb="FF00FFFF"/>
      <name val="Arial"/>
      <scheme val="minor"/>
    </font>
    <font>
      <color rgb="FF00FFFF"/>
      <name val="Arial"/>
      <scheme val="minor"/>
    </font>
    <font>
      <color theme="1"/>
      <name val="Arial"/>
      <scheme val="minor"/>
    </font>
    <font>
      <sz val="10.0"/>
      <color rgb="FFFFFFFF"/>
      <name val="Arial"/>
      <scheme val="minor"/>
    </font>
    <font>
      <sz val="11.0"/>
      <color rgb="FFF13000"/>
      <name val="Arial"/>
      <scheme val="minor"/>
    </font>
    <font>
      <sz val="12.0"/>
      <color rgb="FF00FFFF"/>
      <name val="Arial"/>
      <scheme val="minor"/>
    </font>
    <font>
      <b/>
      <color rgb="FFF13000"/>
      <name val="Arial"/>
      <scheme val="minor"/>
    </font>
    <font>
      <i/>
      <color rgb="FF666666"/>
      <name val="Arial"/>
      <scheme val="minor"/>
    </font>
    <font>
      <color rgb="FFB7B7B7"/>
      <name val="Arial"/>
      <scheme val="minor"/>
    </font>
    <font>
      <color rgb="FFCCCCCC"/>
      <name val="Arial"/>
    </font>
    <font>
      <color rgb="FF666666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E1E1E"/>
        <bgColor rgb="FF1E1E1E"/>
      </patternFill>
    </fill>
    <fill>
      <patternFill patternType="solid">
        <fgColor rgb="FF1F1F1F"/>
        <bgColor rgb="FF1F1F1F"/>
      </patternFill>
    </fill>
    <fill>
      <patternFill patternType="solid">
        <fgColor rgb="FFF13000"/>
        <bgColor rgb="FFF13000"/>
      </patternFill>
    </fill>
  </fills>
  <borders count="14">
    <border/>
    <border>
      <left style="thin">
        <color rgb="FF434343"/>
      </left>
      <top style="thin">
        <color rgb="FF434343"/>
      </top>
    </border>
    <border>
      <right style="thin">
        <color rgb="FF434343"/>
      </right>
      <top style="thin">
        <color rgb="FF434343"/>
      </top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bottom style="thin">
        <color rgb="FF434343"/>
      </bottom>
    </border>
    <border>
      <right style="thin">
        <color rgb="FF434343"/>
      </right>
      <bottom style="thin">
        <color rgb="FF434343"/>
      </bottom>
    </border>
    <border>
      <left style="thin">
        <color rgb="FF434343"/>
      </left>
    </border>
    <border>
      <left style="thin">
        <color rgb="FF434343"/>
      </left>
      <right style="thin">
        <color rgb="FF434343"/>
      </right>
    </border>
    <border>
      <right style="thin">
        <color rgb="FF434343"/>
      </right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top style="thin">
        <color rgb="FF434343"/>
      </top>
    </border>
    <border>
      <bottom style="thin">
        <color rgb="FF434343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2" fontId="3" numFmtId="0" xfId="0" applyAlignment="1" applyBorder="1" applyFont="1">
      <alignment horizontal="center" readingOrder="0"/>
    </xf>
    <xf borderId="3" fillId="2" fontId="3" numFmtId="0" xfId="0" applyAlignment="1" applyBorder="1" applyFont="1">
      <alignment horizontal="center" readingOrder="0" shrinkToFit="0" wrapText="1"/>
    </xf>
    <xf borderId="0" fillId="2" fontId="4" numFmtId="0" xfId="0" applyFont="1"/>
    <xf borderId="4" fillId="0" fontId="2" numFmtId="0" xfId="0" applyBorder="1" applyFont="1"/>
    <xf borderId="5" fillId="0" fontId="2" numFmtId="0" xfId="0" applyBorder="1" applyFont="1"/>
    <xf borderId="6" fillId="2" fontId="5" numFmtId="2" xfId="0" applyAlignment="1" applyBorder="1" applyFont="1" applyNumberFormat="1">
      <alignment horizontal="center"/>
    </xf>
    <xf borderId="7" fillId="2" fontId="5" numFmtId="10" xfId="0" applyAlignment="1" applyBorder="1" applyFont="1" applyNumberFormat="1">
      <alignment horizontal="center" readingOrder="0" shrinkToFit="0" wrapText="1"/>
    </xf>
    <xf borderId="8" fillId="2" fontId="5" numFmtId="0" xfId="0" applyAlignment="1" applyBorder="1" applyFont="1">
      <alignment horizontal="center" readingOrder="0" shrinkToFit="0" wrapText="1"/>
    </xf>
    <xf borderId="0" fillId="2" fontId="6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7" numFmtId="0" xfId="0" applyAlignment="1" applyFont="1">
      <alignment readingOrder="0"/>
    </xf>
    <xf borderId="3" fillId="2" fontId="8" numFmtId="0" xfId="0" applyAlignment="1" applyBorder="1" applyFont="1">
      <alignment horizontal="center" readingOrder="0"/>
    </xf>
    <xf borderId="9" fillId="2" fontId="8" numFmtId="0" xfId="0" applyAlignment="1" applyBorder="1" applyFont="1">
      <alignment horizontal="center" readingOrder="0"/>
    </xf>
    <xf borderId="6" fillId="2" fontId="8" numFmtId="0" xfId="0" applyAlignment="1" applyBorder="1" applyFont="1">
      <alignment horizontal="center" readingOrder="0"/>
    </xf>
    <xf borderId="3" fillId="2" fontId="9" numFmtId="0" xfId="0" applyAlignment="1" applyBorder="1" applyFont="1">
      <alignment horizontal="center" readingOrder="0"/>
    </xf>
    <xf borderId="10" fillId="2" fontId="4" numFmtId="0" xfId="0" applyAlignment="1" applyBorder="1" applyFont="1">
      <alignment readingOrder="0" vertical="center"/>
    </xf>
    <xf borderId="9" fillId="2" fontId="4" numFmtId="0" xfId="0" applyAlignment="1" applyBorder="1" applyFont="1">
      <alignment readingOrder="0"/>
    </xf>
    <xf borderId="3" fillId="2" fontId="4" numFmtId="0" xfId="0" applyAlignment="1" applyBorder="1" applyFont="1">
      <alignment horizontal="center" readingOrder="0"/>
    </xf>
    <xf borderId="11" fillId="0" fontId="2" numFmtId="0" xfId="0" applyBorder="1" applyFont="1"/>
    <xf borderId="3" fillId="2" fontId="4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1" fillId="2" fontId="4" numFmtId="0" xfId="0" applyAlignment="1" applyBorder="1" applyFont="1">
      <alignment readingOrder="0"/>
    </xf>
    <xf borderId="12" fillId="2" fontId="4" numFmtId="0" xfId="0" applyAlignment="1" applyBorder="1" applyFont="1">
      <alignment readingOrder="0"/>
    </xf>
    <xf borderId="0" fillId="2" fontId="10" numFmtId="0" xfId="0" applyFont="1"/>
    <xf borderId="3" fillId="2" fontId="4" numFmtId="2" xfId="0" applyAlignment="1" applyBorder="1" applyFont="1" applyNumberFormat="1">
      <alignment horizontal="center"/>
    </xf>
    <xf borderId="3" fillId="2" fontId="11" numFmtId="0" xfId="0" applyAlignment="1" applyBorder="1" applyFont="1">
      <alignment horizontal="center"/>
    </xf>
    <xf borderId="3" fillId="2" fontId="4" numFmtId="0" xfId="0" applyAlignment="1" applyBorder="1" applyFont="1">
      <alignment horizontal="center"/>
    </xf>
    <xf borderId="0" fillId="3" fontId="10" numFmtId="0" xfId="0" applyFill="1" applyFont="1"/>
    <xf borderId="0" fillId="4" fontId="4" numFmtId="0" xfId="0" applyAlignment="1" applyFill="1" applyFont="1">
      <alignment horizontal="center" readingOrder="0"/>
    </xf>
    <xf borderId="10" fillId="2" fontId="12" numFmtId="0" xfId="0" applyAlignment="1" applyBorder="1" applyFont="1">
      <alignment horizontal="center" readingOrder="0" shrinkToFit="0" vertical="center" wrapText="1"/>
    </xf>
    <xf borderId="10" fillId="2" fontId="3" numFmtId="0" xfId="0" applyAlignment="1" applyBorder="1" applyFont="1">
      <alignment horizontal="center" readingOrder="0" shrinkToFit="0" wrapText="1"/>
    </xf>
    <xf borderId="3" fillId="2" fontId="3" numFmtId="2" xfId="0" applyAlignment="1" applyBorder="1" applyFont="1" applyNumberFormat="1">
      <alignment horizontal="center"/>
    </xf>
    <xf borderId="9" fillId="2" fontId="9" numFmtId="0" xfId="0" applyAlignment="1" applyBorder="1" applyFont="1">
      <alignment readingOrder="0"/>
    </xf>
    <xf borderId="4" fillId="2" fontId="4" numFmtId="0" xfId="0" applyBorder="1" applyFont="1"/>
    <xf borderId="13" fillId="2" fontId="4" numFmtId="0" xfId="0" applyAlignment="1" applyBorder="1" applyFont="1">
      <alignment horizontal="center" readingOrder="0"/>
    </xf>
    <xf borderId="11" fillId="2" fontId="4" numFmtId="0" xfId="0" applyAlignment="1" applyBorder="1" applyFont="1">
      <alignment horizontal="center" readingOrder="0"/>
    </xf>
    <xf borderId="0" fillId="2" fontId="4" numFmtId="0" xfId="0" applyAlignment="1" applyFont="1">
      <alignment horizontal="center"/>
    </xf>
    <xf borderId="11" fillId="2" fontId="4" numFmtId="0" xfId="0" applyAlignment="1" applyBorder="1" applyFont="1">
      <alignment readingOrder="0"/>
    </xf>
    <xf borderId="13" fillId="2" fontId="4" numFmtId="0" xfId="0" applyAlignment="1" applyBorder="1" applyFont="1">
      <alignment readingOrder="0"/>
    </xf>
    <xf borderId="0" fillId="2" fontId="12" numFmtId="0" xfId="0" applyAlignment="1" applyFont="1">
      <alignment horizontal="center" readingOrder="0" shrinkToFit="0" vertical="center" wrapText="1"/>
    </xf>
    <xf borderId="10" fillId="2" fontId="3" numFmtId="0" xfId="0" applyAlignment="1" applyBorder="1" applyFont="1">
      <alignment horizontal="center" readingOrder="0" shrinkToFit="0" vertical="center" wrapText="1"/>
    </xf>
    <xf borderId="10" fillId="2" fontId="13" numFmtId="0" xfId="0" applyAlignment="1" applyBorder="1" applyFont="1">
      <alignment horizontal="center" readingOrder="0" shrinkToFit="0" wrapText="1"/>
    </xf>
    <xf borderId="10" fillId="2" fontId="13" numFmtId="0" xfId="0" applyAlignment="1" applyBorder="1" applyFont="1">
      <alignment horizontal="center" readingOrder="0" shrinkToFit="0" vertical="center" wrapText="1"/>
    </xf>
    <xf borderId="10" fillId="2" fontId="3" numFmtId="10" xfId="0" applyAlignment="1" applyBorder="1" applyFont="1" applyNumberFormat="1">
      <alignment horizontal="center" vertical="center"/>
    </xf>
    <xf borderId="3" fillId="2" fontId="8" numFmtId="0" xfId="0" applyAlignment="1" applyBorder="1" applyFont="1">
      <alignment horizontal="left" readingOrder="0"/>
    </xf>
    <xf borderId="3" fillId="2" fontId="14" numFmtId="0" xfId="0" applyAlignment="1" applyBorder="1" applyFont="1">
      <alignment horizontal="center" readingOrder="0"/>
    </xf>
    <xf borderId="11" fillId="2" fontId="15" numFmtId="0" xfId="0" applyAlignment="1" applyBorder="1" applyFont="1">
      <alignment horizontal="center" readingOrder="0"/>
    </xf>
    <xf borderId="3" fillId="2" fontId="16" numFmtId="0" xfId="0" applyAlignment="1" applyBorder="1" applyFont="1">
      <alignment readingOrder="0"/>
    </xf>
    <xf borderId="9" fillId="2" fontId="8" numFmtId="0" xfId="0" applyAlignment="1" applyBorder="1" applyFont="1">
      <alignment horizontal="left" readingOrder="0"/>
    </xf>
    <xf borderId="4" fillId="2" fontId="8" numFmtId="0" xfId="0" applyAlignment="1" applyBorder="1" applyFont="1">
      <alignment horizontal="center" readingOrder="0"/>
    </xf>
    <xf borderId="13" fillId="2" fontId="8" numFmtId="0" xfId="0" applyAlignment="1" applyBorder="1" applyFont="1">
      <alignment horizontal="center" readingOrder="0"/>
    </xf>
    <xf borderId="13" fillId="2" fontId="14" numFmtId="0" xfId="0" applyAlignment="1" applyBorder="1" applyFont="1">
      <alignment horizontal="center" readingOrder="0"/>
    </xf>
    <xf borderId="11" fillId="2" fontId="16" numFmtId="0" xfId="0" applyAlignment="1" applyBorder="1" applyFont="1">
      <alignment readingOrder="0"/>
    </xf>
    <xf borderId="3" fillId="2" fontId="15" numFmtId="0" xfId="0" applyAlignment="1" applyBorder="1" applyFont="1">
      <alignment horizontal="center" readingOrder="0"/>
    </xf>
    <xf borderId="3" fillId="2" fontId="16" numFmtId="0" xfId="0" applyAlignment="1" applyBorder="1" applyFont="1">
      <alignment horizontal="center" readingOrder="0"/>
    </xf>
    <xf borderId="3" fillId="2" fontId="17" numFmtId="0" xfId="0" applyAlignment="1" applyBorder="1" applyFont="1">
      <alignment horizontal="left" readingOrder="0"/>
    </xf>
    <xf borderId="3" fillId="2" fontId="18" numFmtId="0" xfId="0" applyAlignment="1" applyBorder="1" applyFont="1">
      <alignment readingOrder="0"/>
    </xf>
    <xf borderId="0" fillId="2" fontId="4" numFmtId="10" xfId="0" applyFont="1" applyNumberFormat="1"/>
  </cellXfs>
  <cellStyles count="1">
    <cellStyle xfId="0" name="Normal" builtinId="0"/>
  </cellStyles>
  <dxfs count="2">
    <dxf>
      <font>
        <color rgb="FF434343"/>
      </font>
      <fill>
        <patternFill patternType="solid">
          <fgColor rgb="FF00FFFF"/>
          <bgColor rgb="FF00FFFF"/>
        </patternFill>
      </fill>
      <border/>
    </dxf>
    <dxf>
      <font>
        <color rgb="FFF3F3F3"/>
      </font>
      <fill>
        <patternFill patternType="solid">
          <fgColor rgb="FF1E1E1E"/>
          <bgColor rgb="FF1E1E1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3952875" cy="457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25"/>
    <col customWidth="1" min="2" max="2" width="34.0"/>
    <col customWidth="1" min="3" max="3" width="15.0"/>
    <col customWidth="1" min="4" max="4" width="26.63"/>
    <col customWidth="1" min="5" max="5" width="23.88"/>
    <col customWidth="1" min="6" max="6" width="31.5"/>
    <col customWidth="1" min="7" max="7" width="15.63"/>
  </cols>
  <sheetData>
    <row r="1">
      <c r="A1" s="1"/>
      <c r="B1" s="2"/>
      <c r="C1" s="3" t="s">
        <v>0</v>
      </c>
      <c r="D1" s="4" t="s">
        <v>1</v>
      </c>
      <c r="E1" s="4" t="s">
        <v>2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7"/>
      <c r="C2" s="8">
        <f>SUM(B14:B17)</f>
        <v>0</v>
      </c>
      <c r="D2" s="9" t="str">
        <f>'MOCK TESTS'!G1</f>
        <v>#DIV/0!</v>
      </c>
      <c r="E2" s="10" t="str">
        <f>if(D2&gt;70%, "Yes", "Not yet")</f>
        <v>#DIV/0!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11"/>
      <c r="C3" s="12"/>
      <c r="D3" s="5"/>
      <c r="E3" s="5"/>
      <c r="F3" s="12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11"/>
      <c r="C4" s="12"/>
      <c r="D4" s="5"/>
      <c r="E4" s="5"/>
      <c r="F4" s="13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4" t="s">
        <v>3</v>
      </c>
      <c r="B5" s="15" t="s">
        <v>4</v>
      </c>
      <c r="C5" s="16"/>
      <c r="D5" s="17" t="s">
        <v>5</v>
      </c>
      <c r="E5" s="5"/>
      <c r="F5" s="13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8" t="s">
        <v>6</v>
      </c>
      <c r="B6" s="19" t="s">
        <v>7</v>
      </c>
      <c r="C6" s="16"/>
      <c r="D6" s="20" t="s">
        <v>8</v>
      </c>
      <c r="E6" s="5"/>
      <c r="F6" s="12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1"/>
      <c r="B7" s="19" t="s">
        <v>9</v>
      </c>
      <c r="C7" s="16"/>
      <c r="D7" s="20" t="s">
        <v>10</v>
      </c>
      <c r="E7" s="5"/>
      <c r="F7" s="13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2" t="s">
        <v>11</v>
      </c>
      <c r="B8" s="19" t="s">
        <v>12</v>
      </c>
      <c r="C8" s="16"/>
      <c r="D8" s="20" t="s">
        <v>13</v>
      </c>
      <c r="E8" s="5"/>
      <c r="F8" s="12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2" t="s">
        <v>14</v>
      </c>
      <c r="B9" s="19" t="s">
        <v>15</v>
      </c>
      <c r="C9" s="16"/>
      <c r="D9" s="20" t="s">
        <v>16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3" t="s">
        <v>17</v>
      </c>
      <c r="B10" s="24" t="s">
        <v>18</v>
      </c>
      <c r="C10" s="16"/>
      <c r="D10" s="20" t="s">
        <v>19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5"/>
      <c r="B11" s="25"/>
      <c r="C11" s="12"/>
      <c r="D11" s="20" t="s">
        <v>20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2"/>
      <c r="B12" s="12"/>
      <c r="C12" s="1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4" t="s">
        <v>21</v>
      </c>
      <c r="B13" s="14" t="s">
        <v>22</v>
      </c>
      <c r="C13" s="26"/>
      <c r="D13" s="17" t="s">
        <v>23</v>
      </c>
      <c r="E13" s="5"/>
      <c r="F13" s="2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2" t="s">
        <v>24</v>
      </c>
      <c r="B14" s="27">
        <f>LISTENING!D2</f>
        <v>0</v>
      </c>
      <c r="C14" s="26"/>
      <c r="D14" s="28" t="str">
        <f>IF(C2 = 0, "Not started",
 IF(C2 &lt; 90, "Beginner",
 IF(AND(C2 &gt;= 90, C2 &lt;= 179.9), "A1",
 IF(AND(C2 &gt;= 180, C2 &lt;= 349.9), "A2",
 IF(AND(C2 &gt;= 350, C2 &lt;= 599.9), "B1",
 IF(AND(C2 &gt;= 600, C2 &lt;= 899.9), "B2",
 IF(AND(C2 &gt;= 900, C2 &lt;= 1799.9), "C1",
 IF(C2 &gt; 1799.9, "C2", "")
 )))))))</f>
        <v>Not started</v>
      </c>
      <c r="E14" s="5"/>
      <c r="F14" s="2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2" t="s">
        <v>25</v>
      </c>
      <c r="B15" s="27">
        <f>READING!D2</f>
        <v>0</v>
      </c>
      <c r="C15" s="26"/>
      <c r="D15" s="26"/>
      <c r="E15" s="5"/>
      <c r="F15" s="2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2" t="s">
        <v>26</v>
      </c>
      <c r="B16" s="27">
        <f>WRITING!D2</f>
        <v>0</v>
      </c>
      <c r="C16" s="5"/>
      <c r="D16" s="26"/>
      <c r="E16" s="5"/>
      <c r="F16" s="2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2" t="s">
        <v>27</v>
      </c>
      <c r="B17" s="27">
        <f>SPEAKING!D2</f>
        <v>0</v>
      </c>
      <c r="C17" s="5"/>
      <c r="D17" s="26"/>
      <c r="E17" s="5"/>
      <c r="F17" s="2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26"/>
      <c r="E18" s="5"/>
      <c r="F18" s="2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26"/>
      <c r="E19" s="5"/>
      <c r="F19" s="2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4" t="s">
        <v>28</v>
      </c>
      <c r="B20" s="14" t="s">
        <v>29</v>
      </c>
      <c r="C20" s="5"/>
      <c r="D20" s="26"/>
      <c r="E20" s="5"/>
      <c r="F20" s="2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2" t="s">
        <v>30</v>
      </c>
      <c r="B21" s="29">
        <f>'MOCK TESTS'!F538</f>
        <v>0</v>
      </c>
      <c r="C21" s="5"/>
      <c r="D21" s="26"/>
      <c r="E21" s="5"/>
      <c r="F21" s="2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2" t="s">
        <v>31</v>
      </c>
      <c r="B22" s="29">
        <f>'MOCK TESTS'!F548</f>
        <v>0</v>
      </c>
      <c r="C22" s="5"/>
      <c r="D22" s="26"/>
      <c r="E22" s="5"/>
      <c r="F22" s="2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2" t="s">
        <v>32</v>
      </c>
      <c r="B23" s="29">
        <f>'MOCK TESTS'!F556</f>
        <v>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2" t="s">
        <v>33</v>
      </c>
      <c r="B24" s="29">
        <f>'MOCK TESTS'!F562</f>
        <v>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30"/>
      <c r="B25" s="30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30"/>
      <c r="B26" s="30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1" t="s">
        <v>34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2" t="s">
        <v>35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3" t="s">
        <v>36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3" t="s">
        <v>37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2" t="s">
        <v>38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3" t="s">
        <v>39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26"/>
      <c r="B33" s="2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26"/>
      <c r="B34" s="26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26"/>
      <c r="B35" s="26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26"/>
      <c r="B36" s="26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26"/>
      <c r="B37" s="26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</sheetData>
  <mergeCells count="3">
    <mergeCell ref="A1:B2"/>
    <mergeCell ref="A6:A7"/>
    <mergeCell ref="A27:B27"/>
  </mergeCells>
  <conditionalFormatting sqref="E2">
    <cfRule type="containsText" dxfId="0" priority="1" operator="containsText" text="Yes">
      <formula>NOT(ISERROR(SEARCH(("Yes"),(E2))))</formula>
    </cfRule>
  </conditionalFormatting>
  <conditionalFormatting sqref="E2">
    <cfRule type="containsText" dxfId="1" priority="2" operator="containsText" text="Not yet">
      <formula>NOT(ISERROR(SEARCH(("Not yet"),(E2))))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38"/>
    <col customWidth="1" min="2" max="2" width="24.13"/>
    <col customWidth="1" min="3" max="3" width="10.88"/>
    <col customWidth="1" min="4" max="4" width="15.0"/>
    <col customWidth="1" min="5" max="6" width="15.63"/>
  </cols>
  <sheetData>
    <row r="1">
      <c r="A1" s="32" t="s">
        <v>40</v>
      </c>
      <c r="B1" s="33" t="s">
        <v>41</v>
      </c>
      <c r="C1" s="33" t="s">
        <v>42</v>
      </c>
      <c r="D1" s="3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21"/>
      <c r="B2" s="21"/>
      <c r="C2" s="21"/>
      <c r="D2" s="34">
        <f>SUM(C4:C521)/60</f>
        <v>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35" t="s">
        <v>6</v>
      </c>
      <c r="B4" s="36"/>
      <c r="C4" s="37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22" t="s">
        <v>43</v>
      </c>
      <c r="B5" s="22" t="s">
        <v>44</v>
      </c>
      <c r="C5" s="38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22" t="s">
        <v>45</v>
      </c>
      <c r="B6" s="22" t="s">
        <v>44</v>
      </c>
      <c r="C6" s="20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22" t="s">
        <v>46</v>
      </c>
      <c r="B7" s="22" t="s">
        <v>44</v>
      </c>
      <c r="C7" s="20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22" t="s">
        <v>47</v>
      </c>
      <c r="B8" s="22" t="s">
        <v>44</v>
      </c>
      <c r="C8" s="20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22" t="s">
        <v>48</v>
      </c>
      <c r="B9" s="22" t="s">
        <v>44</v>
      </c>
      <c r="C9" s="29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22" t="s">
        <v>49</v>
      </c>
      <c r="B10" s="22" t="s">
        <v>44</v>
      </c>
      <c r="C10" s="29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22" t="s">
        <v>50</v>
      </c>
      <c r="B11" s="22" t="s">
        <v>44</v>
      </c>
      <c r="C11" s="29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5"/>
      <c r="B12" s="5"/>
      <c r="C12" s="39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/>
      <c r="B13" s="5"/>
      <c r="C13" s="39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35" t="s">
        <v>11</v>
      </c>
      <c r="B14" s="36"/>
      <c r="C14" s="37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22" t="s">
        <v>51</v>
      </c>
      <c r="B15" s="40" t="s">
        <v>44</v>
      </c>
      <c r="C15" s="38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22" t="s">
        <v>52</v>
      </c>
      <c r="B16" s="22" t="s">
        <v>44</v>
      </c>
      <c r="C16" s="20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22" t="s">
        <v>53</v>
      </c>
      <c r="B17" s="22" t="s">
        <v>44</v>
      </c>
      <c r="C17" s="20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22" t="s">
        <v>54</v>
      </c>
      <c r="B18" s="22" t="s">
        <v>44</v>
      </c>
      <c r="C18" s="20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22" t="s">
        <v>55</v>
      </c>
      <c r="B19" s="22" t="s">
        <v>44</v>
      </c>
      <c r="C19" s="29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22" t="s">
        <v>56</v>
      </c>
      <c r="B20" s="22" t="s">
        <v>44</v>
      </c>
      <c r="C20" s="29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22" t="s">
        <v>57</v>
      </c>
      <c r="B21" s="22" t="s">
        <v>44</v>
      </c>
      <c r="C21" s="29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39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39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35" t="s">
        <v>14</v>
      </c>
      <c r="B24" s="36"/>
      <c r="C24" s="37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22" t="s">
        <v>58</v>
      </c>
      <c r="B25" s="40" t="s">
        <v>44</v>
      </c>
      <c r="C25" s="38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22" t="s">
        <v>59</v>
      </c>
      <c r="B26" s="22" t="s">
        <v>44</v>
      </c>
      <c r="C26" s="20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22" t="s">
        <v>60</v>
      </c>
      <c r="B27" s="22" t="s">
        <v>44</v>
      </c>
      <c r="C27" s="20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22" t="s">
        <v>61</v>
      </c>
      <c r="B28" s="22" t="s">
        <v>44</v>
      </c>
      <c r="C28" s="20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22" t="s">
        <v>62</v>
      </c>
      <c r="B29" s="22" t="s">
        <v>44</v>
      </c>
      <c r="C29" s="29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22" t="s">
        <v>63</v>
      </c>
      <c r="B30" s="22" t="s">
        <v>44</v>
      </c>
      <c r="C30" s="29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22" t="s">
        <v>64</v>
      </c>
      <c r="B31" s="22" t="s">
        <v>44</v>
      </c>
      <c r="C31" s="29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39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39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35" t="s">
        <v>17</v>
      </c>
      <c r="B34" s="36"/>
      <c r="C34" s="37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22" t="s">
        <v>65</v>
      </c>
      <c r="B35" s="40" t="s">
        <v>44</v>
      </c>
      <c r="C35" s="38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22" t="s">
        <v>66</v>
      </c>
      <c r="B36" s="22" t="s">
        <v>44</v>
      </c>
      <c r="C36" s="20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22" t="s">
        <v>67</v>
      </c>
      <c r="B37" s="22" t="s">
        <v>44</v>
      </c>
      <c r="C37" s="20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22" t="s">
        <v>68</v>
      </c>
      <c r="B38" s="22" t="s">
        <v>44</v>
      </c>
      <c r="C38" s="20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22" t="s">
        <v>69</v>
      </c>
      <c r="B39" s="22" t="s">
        <v>44</v>
      </c>
      <c r="C39" s="29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22" t="s">
        <v>70</v>
      </c>
      <c r="B40" s="22" t="s">
        <v>44</v>
      </c>
      <c r="C40" s="29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22" t="s">
        <v>71</v>
      </c>
      <c r="B41" s="22" t="s">
        <v>44</v>
      </c>
      <c r="C41" s="29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39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39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35" t="s">
        <v>72</v>
      </c>
      <c r="B44" s="36"/>
      <c r="C44" s="37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22" t="s">
        <v>73</v>
      </c>
      <c r="B45" s="40" t="s">
        <v>44</v>
      </c>
      <c r="C45" s="38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22" t="s">
        <v>74</v>
      </c>
      <c r="B46" s="22" t="s">
        <v>44</v>
      </c>
      <c r="C46" s="20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22" t="s">
        <v>75</v>
      </c>
      <c r="B47" s="22" t="s">
        <v>44</v>
      </c>
      <c r="C47" s="20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22" t="s">
        <v>76</v>
      </c>
      <c r="B48" s="22" t="s">
        <v>44</v>
      </c>
      <c r="C48" s="20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22" t="s">
        <v>77</v>
      </c>
      <c r="B49" s="22" t="s">
        <v>44</v>
      </c>
      <c r="C49" s="29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22" t="s">
        <v>78</v>
      </c>
      <c r="B50" s="22" t="s">
        <v>44</v>
      </c>
      <c r="C50" s="29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22" t="s">
        <v>79</v>
      </c>
      <c r="B51" s="22" t="s">
        <v>44</v>
      </c>
      <c r="C51" s="29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39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39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35" t="s">
        <v>80</v>
      </c>
      <c r="B54" s="36"/>
      <c r="C54" s="3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22" t="s">
        <v>81</v>
      </c>
      <c r="B55" s="40" t="s">
        <v>44</v>
      </c>
      <c r="C55" s="38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22" t="s">
        <v>82</v>
      </c>
      <c r="B56" s="22" t="s">
        <v>44</v>
      </c>
      <c r="C56" s="20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22" t="s">
        <v>83</v>
      </c>
      <c r="B57" s="22" t="s">
        <v>44</v>
      </c>
      <c r="C57" s="20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22" t="s">
        <v>84</v>
      </c>
      <c r="B58" s="22" t="s">
        <v>44</v>
      </c>
      <c r="C58" s="20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22" t="s">
        <v>85</v>
      </c>
      <c r="B59" s="22" t="s">
        <v>44</v>
      </c>
      <c r="C59" s="29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22" t="s">
        <v>86</v>
      </c>
      <c r="B60" s="22" t="s">
        <v>44</v>
      </c>
      <c r="C60" s="29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22" t="s">
        <v>87</v>
      </c>
      <c r="B61" s="22" t="s">
        <v>44</v>
      </c>
      <c r="C61" s="29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39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39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35" t="s">
        <v>88</v>
      </c>
      <c r="B64" s="36"/>
      <c r="C64" s="3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22" t="s">
        <v>89</v>
      </c>
      <c r="B65" s="40" t="s">
        <v>44</v>
      </c>
      <c r="C65" s="38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22" t="s">
        <v>90</v>
      </c>
      <c r="B66" s="22" t="s">
        <v>44</v>
      </c>
      <c r="C66" s="20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22" t="s">
        <v>91</v>
      </c>
      <c r="B67" s="22" t="s">
        <v>44</v>
      </c>
      <c r="C67" s="20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22" t="s">
        <v>92</v>
      </c>
      <c r="B68" s="22" t="s">
        <v>44</v>
      </c>
      <c r="C68" s="20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22" t="s">
        <v>93</v>
      </c>
      <c r="B69" s="22" t="s">
        <v>44</v>
      </c>
      <c r="C69" s="29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22" t="s">
        <v>94</v>
      </c>
      <c r="B70" s="22" t="s">
        <v>44</v>
      </c>
      <c r="C70" s="29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22" t="s">
        <v>95</v>
      </c>
      <c r="B71" s="22" t="s">
        <v>44</v>
      </c>
      <c r="C71" s="29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39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39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35" t="s">
        <v>96</v>
      </c>
      <c r="B74" s="36"/>
      <c r="C74" s="3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22" t="s">
        <v>97</v>
      </c>
      <c r="B75" s="40" t="s">
        <v>44</v>
      </c>
      <c r="C75" s="38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22" t="s">
        <v>98</v>
      </c>
      <c r="B76" s="22" t="s">
        <v>44</v>
      </c>
      <c r="C76" s="20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22" t="s">
        <v>99</v>
      </c>
      <c r="B77" s="22" t="s">
        <v>44</v>
      </c>
      <c r="C77" s="20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22" t="s">
        <v>100</v>
      </c>
      <c r="B78" s="22" t="s">
        <v>44</v>
      </c>
      <c r="C78" s="20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22" t="s">
        <v>101</v>
      </c>
      <c r="B79" s="22" t="s">
        <v>44</v>
      </c>
      <c r="C79" s="29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22" t="s">
        <v>102</v>
      </c>
      <c r="B80" s="22" t="s">
        <v>44</v>
      </c>
      <c r="C80" s="29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22" t="s">
        <v>103</v>
      </c>
      <c r="B81" s="22" t="s">
        <v>44</v>
      </c>
      <c r="C81" s="29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39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39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35" t="s">
        <v>104</v>
      </c>
      <c r="B84" s="36"/>
      <c r="C84" s="3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22" t="s">
        <v>105</v>
      </c>
      <c r="B85" s="40" t="s">
        <v>44</v>
      </c>
      <c r="C85" s="38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22" t="s">
        <v>106</v>
      </c>
      <c r="B86" s="22" t="s">
        <v>44</v>
      </c>
      <c r="C86" s="20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22" t="s">
        <v>107</v>
      </c>
      <c r="B87" s="22" t="s">
        <v>44</v>
      </c>
      <c r="C87" s="20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22" t="s">
        <v>108</v>
      </c>
      <c r="B88" s="22" t="s">
        <v>44</v>
      </c>
      <c r="C88" s="20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22" t="s">
        <v>109</v>
      </c>
      <c r="B89" s="22" t="s">
        <v>44</v>
      </c>
      <c r="C89" s="29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22" t="s">
        <v>110</v>
      </c>
      <c r="B90" s="22" t="s">
        <v>44</v>
      </c>
      <c r="C90" s="29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22" t="s">
        <v>111</v>
      </c>
      <c r="B91" s="22" t="s">
        <v>44</v>
      </c>
      <c r="C91" s="29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39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39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35" t="s">
        <v>112</v>
      </c>
      <c r="B94" s="36"/>
      <c r="C94" s="3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22" t="s">
        <v>113</v>
      </c>
      <c r="B95" s="40" t="s">
        <v>44</v>
      </c>
      <c r="C95" s="38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22" t="s">
        <v>114</v>
      </c>
      <c r="B96" s="22" t="s">
        <v>44</v>
      </c>
      <c r="C96" s="20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22" t="s">
        <v>115</v>
      </c>
      <c r="B97" s="22" t="s">
        <v>44</v>
      </c>
      <c r="C97" s="20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22" t="s">
        <v>116</v>
      </c>
      <c r="B98" s="22" t="s">
        <v>44</v>
      </c>
      <c r="C98" s="20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22" t="s">
        <v>117</v>
      </c>
      <c r="B99" s="22" t="s">
        <v>44</v>
      </c>
      <c r="C99" s="29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22" t="s">
        <v>118</v>
      </c>
      <c r="B100" s="22" t="s">
        <v>44</v>
      </c>
      <c r="C100" s="29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22" t="s">
        <v>119</v>
      </c>
      <c r="B101" s="22" t="s">
        <v>44</v>
      </c>
      <c r="C101" s="29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39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39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35" t="s">
        <v>120</v>
      </c>
      <c r="B104" s="36"/>
      <c r="C104" s="3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22" t="s">
        <v>121</v>
      </c>
      <c r="B105" s="40" t="s">
        <v>44</v>
      </c>
      <c r="C105" s="38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22" t="s">
        <v>122</v>
      </c>
      <c r="B106" s="22" t="s">
        <v>44</v>
      </c>
      <c r="C106" s="20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22" t="s">
        <v>123</v>
      </c>
      <c r="B107" s="22" t="s">
        <v>44</v>
      </c>
      <c r="C107" s="20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22" t="s">
        <v>124</v>
      </c>
      <c r="B108" s="22" t="s">
        <v>44</v>
      </c>
      <c r="C108" s="20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22" t="s">
        <v>125</v>
      </c>
      <c r="B109" s="22" t="s">
        <v>44</v>
      </c>
      <c r="C109" s="29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22" t="s">
        <v>126</v>
      </c>
      <c r="B110" s="22" t="s">
        <v>44</v>
      </c>
      <c r="C110" s="29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22" t="s">
        <v>127</v>
      </c>
      <c r="B111" s="22" t="s">
        <v>44</v>
      </c>
      <c r="C111" s="29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39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39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35" t="s">
        <v>128</v>
      </c>
      <c r="B114" s="36"/>
      <c r="C114" s="3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22" t="s">
        <v>129</v>
      </c>
      <c r="B115" s="40" t="s">
        <v>44</v>
      </c>
      <c r="C115" s="38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22" t="s">
        <v>130</v>
      </c>
      <c r="B116" s="22" t="s">
        <v>44</v>
      </c>
      <c r="C116" s="20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22" t="s">
        <v>131</v>
      </c>
      <c r="B117" s="22" t="s">
        <v>44</v>
      </c>
      <c r="C117" s="20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22" t="s">
        <v>132</v>
      </c>
      <c r="B118" s="22" t="s">
        <v>44</v>
      </c>
      <c r="C118" s="20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22" t="s">
        <v>133</v>
      </c>
      <c r="B119" s="22" t="s">
        <v>44</v>
      </c>
      <c r="C119" s="29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22" t="s">
        <v>134</v>
      </c>
      <c r="B120" s="22" t="s">
        <v>44</v>
      </c>
      <c r="C120" s="29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22" t="s">
        <v>135</v>
      </c>
      <c r="B121" s="22" t="s">
        <v>44</v>
      </c>
      <c r="C121" s="29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39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39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35" t="s">
        <v>136</v>
      </c>
      <c r="B124" s="36"/>
      <c r="C124" s="3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22" t="s">
        <v>137</v>
      </c>
      <c r="B125" s="40" t="s">
        <v>44</v>
      </c>
      <c r="C125" s="38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22" t="s">
        <v>138</v>
      </c>
      <c r="B126" s="22" t="s">
        <v>44</v>
      </c>
      <c r="C126" s="20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22" t="s">
        <v>139</v>
      </c>
      <c r="B127" s="22" t="s">
        <v>44</v>
      </c>
      <c r="C127" s="20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22" t="s">
        <v>140</v>
      </c>
      <c r="B128" s="22" t="s">
        <v>44</v>
      </c>
      <c r="C128" s="20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22" t="s">
        <v>141</v>
      </c>
      <c r="B129" s="22" t="s">
        <v>44</v>
      </c>
      <c r="C129" s="29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22" t="s">
        <v>142</v>
      </c>
      <c r="B130" s="22" t="s">
        <v>44</v>
      </c>
      <c r="C130" s="29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22" t="s">
        <v>143</v>
      </c>
      <c r="B131" s="22" t="s">
        <v>44</v>
      </c>
      <c r="C131" s="29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39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39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35" t="s">
        <v>144</v>
      </c>
      <c r="B134" s="36"/>
      <c r="C134" s="3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22" t="s">
        <v>145</v>
      </c>
      <c r="B135" s="40" t="s">
        <v>44</v>
      </c>
      <c r="C135" s="38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22" t="s">
        <v>146</v>
      </c>
      <c r="B136" s="22" t="s">
        <v>44</v>
      </c>
      <c r="C136" s="20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22" t="s">
        <v>147</v>
      </c>
      <c r="B137" s="22" t="s">
        <v>44</v>
      </c>
      <c r="C137" s="20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22" t="s">
        <v>148</v>
      </c>
      <c r="B138" s="22" t="s">
        <v>44</v>
      </c>
      <c r="C138" s="20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22" t="s">
        <v>149</v>
      </c>
      <c r="B139" s="22" t="s">
        <v>44</v>
      </c>
      <c r="C139" s="29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22" t="s">
        <v>150</v>
      </c>
      <c r="B140" s="22" t="s">
        <v>44</v>
      </c>
      <c r="C140" s="29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22" t="s">
        <v>151</v>
      </c>
      <c r="B141" s="22" t="s">
        <v>44</v>
      </c>
      <c r="C141" s="29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39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39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35" t="s">
        <v>152</v>
      </c>
      <c r="B144" s="36"/>
      <c r="C144" s="3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22" t="s">
        <v>153</v>
      </c>
      <c r="B145" s="40" t="s">
        <v>44</v>
      </c>
      <c r="C145" s="38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22" t="s">
        <v>154</v>
      </c>
      <c r="B146" s="22" t="s">
        <v>44</v>
      </c>
      <c r="C146" s="20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22" t="s">
        <v>155</v>
      </c>
      <c r="B147" s="22" t="s">
        <v>44</v>
      </c>
      <c r="C147" s="20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22" t="s">
        <v>156</v>
      </c>
      <c r="B148" s="22" t="s">
        <v>44</v>
      </c>
      <c r="C148" s="20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22" t="s">
        <v>157</v>
      </c>
      <c r="B149" s="22" t="s">
        <v>44</v>
      </c>
      <c r="C149" s="29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22" t="s">
        <v>158</v>
      </c>
      <c r="B150" s="22" t="s">
        <v>44</v>
      </c>
      <c r="C150" s="29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22" t="s">
        <v>159</v>
      </c>
      <c r="B151" s="22" t="s">
        <v>44</v>
      </c>
      <c r="C151" s="29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39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39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35" t="s">
        <v>160</v>
      </c>
      <c r="B154" s="36"/>
      <c r="C154" s="3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22" t="s">
        <v>161</v>
      </c>
      <c r="B155" s="40" t="s">
        <v>44</v>
      </c>
      <c r="C155" s="38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22" t="s">
        <v>162</v>
      </c>
      <c r="B156" s="22" t="s">
        <v>44</v>
      </c>
      <c r="C156" s="20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22" t="s">
        <v>163</v>
      </c>
      <c r="B157" s="22" t="s">
        <v>44</v>
      </c>
      <c r="C157" s="20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22" t="s">
        <v>164</v>
      </c>
      <c r="B158" s="22" t="s">
        <v>44</v>
      </c>
      <c r="C158" s="20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22" t="s">
        <v>165</v>
      </c>
      <c r="B159" s="22" t="s">
        <v>44</v>
      </c>
      <c r="C159" s="29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22" t="s">
        <v>166</v>
      </c>
      <c r="B160" s="22" t="s">
        <v>44</v>
      </c>
      <c r="C160" s="29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22" t="s">
        <v>167</v>
      </c>
      <c r="B161" s="22" t="s">
        <v>44</v>
      </c>
      <c r="C161" s="29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39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39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35" t="s">
        <v>168</v>
      </c>
      <c r="B164" s="36"/>
      <c r="C164" s="3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22" t="s">
        <v>169</v>
      </c>
      <c r="B165" s="40" t="s">
        <v>44</v>
      </c>
      <c r="C165" s="38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22" t="s">
        <v>170</v>
      </c>
      <c r="B166" s="22" t="s">
        <v>44</v>
      </c>
      <c r="C166" s="20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22" t="s">
        <v>171</v>
      </c>
      <c r="B167" s="22" t="s">
        <v>44</v>
      </c>
      <c r="C167" s="20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22" t="s">
        <v>172</v>
      </c>
      <c r="B168" s="22" t="s">
        <v>44</v>
      </c>
      <c r="C168" s="20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22" t="s">
        <v>173</v>
      </c>
      <c r="B169" s="22" t="s">
        <v>44</v>
      </c>
      <c r="C169" s="29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22" t="s">
        <v>174</v>
      </c>
      <c r="B170" s="22" t="s">
        <v>44</v>
      </c>
      <c r="C170" s="29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22" t="s">
        <v>175</v>
      </c>
      <c r="B171" s="22" t="s">
        <v>44</v>
      </c>
      <c r="C171" s="29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39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39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35" t="s">
        <v>176</v>
      </c>
      <c r="B174" s="36"/>
      <c r="C174" s="3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22" t="s">
        <v>177</v>
      </c>
      <c r="B175" s="40" t="s">
        <v>44</v>
      </c>
      <c r="C175" s="38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22" t="s">
        <v>178</v>
      </c>
      <c r="B176" s="22" t="s">
        <v>44</v>
      </c>
      <c r="C176" s="20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22" t="s">
        <v>179</v>
      </c>
      <c r="B177" s="22" t="s">
        <v>44</v>
      </c>
      <c r="C177" s="20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22" t="s">
        <v>180</v>
      </c>
      <c r="B178" s="22" t="s">
        <v>44</v>
      </c>
      <c r="C178" s="20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22" t="s">
        <v>181</v>
      </c>
      <c r="B179" s="22" t="s">
        <v>44</v>
      </c>
      <c r="C179" s="29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22" t="s">
        <v>182</v>
      </c>
      <c r="B180" s="22" t="s">
        <v>44</v>
      </c>
      <c r="C180" s="29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22" t="s">
        <v>183</v>
      </c>
      <c r="B181" s="22" t="s">
        <v>44</v>
      </c>
      <c r="C181" s="29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39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39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35" t="s">
        <v>184</v>
      </c>
      <c r="B184" s="36"/>
      <c r="C184" s="3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22" t="s">
        <v>185</v>
      </c>
      <c r="B185" s="40" t="s">
        <v>44</v>
      </c>
      <c r="C185" s="38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22" t="s">
        <v>186</v>
      </c>
      <c r="B186" s="22" t="s">
        <v>44</v>
      </c>
      <c r="C186" s="20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22" t="s">
        <v>187</v>
      </c>
      <c r="B187" s="22" t="s">
        <v>44</v>
      </c>
      <c r="C187" s="20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22" t="s">
        <v>188</v>
      </c>
      <c r="B188" s="22" t="s">
        <v>44</v>
      </c>
      <c r="C188" s="20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22" t="s">
        <v>189</v>
      </c>
      <c r="B189" s="22" t="s">
        <v>44</v>
      </c>
      <c r="C189" s="29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22" t="s">
        <v>190</v>
      </c>
      <c r="B190" s="22" t="s">
        <v>44</v>
      </c>
      <c r="C190" s="29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22" t="s">
        <v>191</v>
      </c>
      <c r="B191" s="22" t="s">
        <v>44</v>
      </c>
      <c r="C191" s="29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39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39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35" t="s">
        <v>192</v>
      </c>
      <c r="B194" s="36"/>
      <c r="C194" s="3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22" t="s">
        <v>193</v>
      </c>
      <c r="B195" s="40" t="s">
        <v>44</v>
      </c>
      <c r="C195" s="38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22" t="s">
        <v>194</v>
      </c>
      <c r="B196" s="22" t="s">
        <v>44</v>
      </c>
      <c r="C196" s="20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22" t="s">
        <v>195</v>
      </c>
      <c r="B197" s="22" t="s">
        <v>44</v>
      </c>
      <c r="C197" s="20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22" t="s">
        <v>196</v>
      </c>
      <c r="B198" s="22" t="s">
        <v>44</v>
      </c>
      <c r="C198" s="20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22" t="s">
        <v>197</v>
      </c>
      <c r="B199" s="22" t="s">
        <v>44</v>
      </c>
      <c r="C199" s="29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22" t="s">
        <v>198</v>
      </c>
      <c r="B200" s="22" t="s">
        <v>44</v>
      </c>
      <c r="C200" s="29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22" t="s">
        <v>199</v>
      </c>
      <c r="B201" s="22" t="s">
        <v>44</v>
      </c>
      <c r="C201" s="29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39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39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35" t="s">
        <v>200</v>
      </c>
      <c r="B204" s="36"/>
      <c r="C204" s="3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22" t="s">
        <v>201</v>
      </c>
      <c r="B205" s="40" t="s">
        <v>44</v>
      </c>
      <c r="C205" s="38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22" t="s">
        <v>202</v>
      </c>
      <c r="B206" s="22" t="s">
        <v>44</v>
      </c>
      <c r="C206" s="20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22" t="s">
        <v>203</v>
      </c>
      <c r="B207" s="22" t="s">
        <v>44</v>
      </c>
      <c r="C207" s="20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22" t="s">
        <v>204</v>
      </c>
      <c r="B208" s="22" t="s">
        <v>44</v>
      </c>
      <c r="C208" s="20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22" t="s">
        <v>205</v>
      </c>
      <c r="B209" s="22" t="s">
        <v>44</v>
      </c>
      <c r="C209" s="29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22" t="s">
        <v>206</v>
      </c>
      <c r="B210" s="22" t="s">
        <v>44</v>
      </c>
      <c r="C210" s="29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22" t="s">
        <v>207</v>
      </c>
      <c r="B211" s="22" t="s">
        <v>44</v>
      </c>
      <c r="C211" s="29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39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39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35" t="s">
        <v>208</v>
      </c>
      <c r="B214" s="36"/>
      <c r="C214" s="3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22" t="s">
        <v>209</v>
      </c>
      <c r="B215" s="40" t="s">
        <v>44</v>
      </c>
      <c r="C215" s="38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22" t="s">
        <v>210</v>
      </c>
      <c r="B216" s="22" t="s">
        <v>44</v>
      </c>
      <c r="C216" s="20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22" t="s">
        <v>211</v>
      </c>
      <c r="B217" s="22" t="s">
        <v>44</v>
      </c>
      <c r="C217" s="20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22" t="s">
        <v>212</v>
      </c>
      <c r="B218" s="22" t="s">
        <v>44</v>
      </c>
      <c r="C218" s="20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22" t="s">
        <v>213</v>
      </c>
      <c r="B219" s="22" t="s">
        <v>44</v>
      </c>
      <c r="C219" s="29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22" t="s">
        <v>214</v>
      </c>
      <c r="B220" s="22" t="s">
        <v>44</v>
      </c>
      <c r="C220" s="29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22" t="s">
        <v>215</v>
      </c>
      <c r="B221" s="22" t="s">
        <v>44</v>
      </c>
      <c r="C221" s="29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39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39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35" t="s">
        <v>216</v>
      </c>
      <c r="B224" s="36"/>
      <c r="C224" s="3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22" t="s">
        <v>217</v>
      </c>
      <c r="B225" s="40" t="s">
        <v>44</v>
      </c>
      <c r="C225" s="38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22" t="s">
        <v>218</v>
      </c>
      <c r="B226" s="22" t="s">
        <v>44</v>
      </c>
      <c r="C226" s="20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22" t="s">
        <v>219</v>
      </c>
      <c r="B227" s="22" t="s">
        <v>44</v>
      </c>
      <c r="C227" s="20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22" t="s">
        <v>220</v>
      </c>
      <c r="B228" s="22" t="s">
        <v>44</v>
      </c>
      <c r="C228" s="20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22" t="s">
        <v>221</v>
      </c>
      <c r="B229" s="22" t="s">
        <v>44</v>
      </c>
      <c r="C229" s="29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22" t="s">
        <v>222</v>
      </c>
      <c r="B230" s="22" t="s">
        <v>44</v>
      </c>
      <c r="C230" s="29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22" t="s">
        <v>223</v>
      </c>
      <c r="B231" s="22" t="s">
        <v>44</v>
      </c>
      <c r="C231" s="29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39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39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35" t="s">
        <v>224</v>
      </c>
      <c r="B234" s="36"/>
      <c r="C234" s="3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22" t="s">
        <v>225</v>
      </c>
      <c r="B235" s="40" t="s">
        <v>44</v>
      </c>
      <c r="C235" s="38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22" t="s">
        <v>226</v>
      </c>
      <c r="B236" s="22" t="s">
        <v>44</v>
      </c>
      <c r="C236" s="20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22" t="s">
        <v>227</v>
      </c>
      <c r="B237" s="22" t="s">
        <v>44</v>
      </c>
      <c r="C237" s="20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22" t="s">
        <v>228</v>
      </c>
      <c r="B238" s="22" t="s">
        <v>44</v>
      </c>
      <c r="C238" s="20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22" t="s">
        <v>229</v>
      </c>
      <c r="B239" s="22" t="s">
        <v>44</v>
      </c>
      <c r="C239" s="29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22" t="s">
        <v>230</v>
      </c>
      <c r="B240" s="22" t="s">
        <v>44</v>
      </c>
      <c r="C240" s="29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22" t="s">
        <v>231</v>
      </c>
      <c r="B241" s="22" t="s">
        <v>44</v>
      </c>
      <c r="C241" s="29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39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39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35" t="s">
        <v>232</v>
      </c>
      <c r="B244" s="36"/>
      <c r="C244" s="3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22" t="s">
        <v>233</v>
      </c>
      <c r="B245" s="40" t="s">
        <v>44</v>
      </c>
      <c r="C245" s="38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22" t="s">
        <v>234</v>
      </c>
      <c r="B246" s="22" t="s">
        <v>44</v>
      </c>
      <c r="C246" s="20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22" t="s">
        <v>235</v>
      </c>
      <c r="B247" s="22" t="s">
        <v>44</v>
      </c>
      <c r="C247" s="20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22" t="s">
        <v>236</v>
      </c>
      <c r="B248" s="22" t="s">
        <v>44</v>
      </c>
      <c r="C248" s="20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22" t="s">
        <v>237</v>
      </c>
      <c r="B249" s="22" t="s">
        <v>44</v>
      </c>
      <c r="C249" s="29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22" t="s">
        <v>238</v>
      </c>
      <c r="B250" s="22" t="s">
        <v>44</v>
      </c>
      <c r="C250" s="29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22" t="s">
        <v>239</v>
      </c>
      <c r="B251" s="22" t="s">
        <v>44</v>
      </c>
      <c r="C251" s="29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39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39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35" t="s">
        <v>240</v>
      </c>
      <c r="B254" s="36"/>
      <c r="C254" s="3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22" t="s">
        <v>241</v>
      </c>
      <c r="B255" s="40" t="s">
        <v>44</v>
      </c>
      <c r="C255" s="38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22" t="s">
        <v>242</v>
      </c>
      <c r="B256" s="22" t="s">
        <v>44</v>
      </c>
      <c r="C256" s="20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22" t="s">
        <v>243</v>
      </c>
      <c r="B257" s="22" t="s">
        <v>44</v>
      </c>
      <c r="C257" s="20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22" t="s">
        <v>244</v>
      </c>
      <c r="B258" s="22" t="s">
        <v>44</v>
      </c>
      <c r="C258" s="20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22" t="s">
        <v>245</v>
      </c>
      <c r="B259" s="22" t="s">
        <v>44</v>
      </c>
      <c r="C259" s="29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22" t="s">
        <v>246</v>
      </c>
      <c r="B260" s="22" t="s">
        <v>44</v>
      </c>
      <c r="C260" s="29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22" t="s">
        <v>247</v>
      </c>
      <c r="B261" s="22" t="s">
        <v>44</v>
      </c>
      <c r="C261" s="29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39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39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35" t="s">
        <v>248</v>
      </c>
      <c r="B264" s="36"/>
      <c r="C264" s="3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22" t="s">
        <v>249</v>
      </c>
      <c r="B265" s="40" t="s">
        <v>44</v>
      </c>
      <c r="C265" s="38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22" t="s">
        <v>250</v>
      </c>
      <c r="B266" s="22" t="s">
        <v>44</v>
      </c>
      <c r="C266" s="20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22" t="s">
        <v>251</v>
      </c>
      <c r="B267" s="22" t="s">
        <v>44</v>
      </c>
      <c r="C267" s="20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22" t="s">
        <v>252</v>
      </c>
      <c r="B268" s="22" t="s">
        <v>44</v>
      </c>
      <c r="C268" s="20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22" t="s">
        <v>253</v>
      </c>
      <c r="B269" s="22" t="s">
        <v>44</v>
      </c>
      <c r="C269" s="29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22" t="s">
        <v>254</v>
      </c>
      <c r="B270" s="22" t="s">
        <v>44</v>
      </c>
      <c r="C270" s="29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22" t="s">
        <v>255</v>
      </c>
      <c r="B271" s="22" t="s">
        <v>44</v>
      </c>
      <c r="C271" s="29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39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39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35" t="s">
        <v>256</v>
      </c>
      <c r="B274" s="36"/>
      <c r="C274" s="3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22" t="s">
        <v>257</v>
      </c>
      <c r="B275" s="40" t="s">
        <v>44</v>
      </c>
      <c r="C275" s="38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22" t="s">
        <v>258</v>
      </c>
      <c r="B276" s="22" t="s">
        <v>44</v>
      </c>
      <c r="C276" s="20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22" t="s">
        <v>259</v>
      </c>
      <c r="B277" s="22" t="s">
        <v>44</v>
      </c>
      <c r="C277" s="20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22" t="s">
        <v>260</v>
      </c>
      <c r="B278" s="22" t="s">
        <v>44</v>
      </c>
      <c r="C278" s="20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22" t="s">
        <v>261</v>
      </c>
      <c r="B279" s="22" t="s">
        <v>44</v>
      </c>
      <c r="C279" s="29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22" t="s">
        <v>262</v>
      </c>
      <c r="B280" s="22" t="s">
        <v>44</v>
      </c>
      <c r="C280" s="29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22" t="s">
        <v>263</v>
      </c>
      <c r="B281" s="22" t="s">
        <v>44</v>
      </c>
      <c r="C281" s="29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39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39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35" t="s">
        <v>264</v>
      </c>
      <c r="B284" s="36"/>
      <c r="C284" s="3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22" t="s">
        <v>265</v>
      </c>
      <c r="B285" s="40" t="s">
        <v>44</v>
      </c>
      <c r="C285" s="38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22" t="s">
        <v>266</v>
      </c>
      <c r="B286" s="22" t="s">
        <v>44</v>
      </c>
      <c r="C286" s="20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22" t="s">
        <v>267</v>
      </c>
      <c r="B287" s="22" t="s">
        <v>44</v>
      </c>
      <c r="C287" s="20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22" t="s">
        <v>268</v>
      </c>
      <c r="B288" s="22" t="s">
        <v>44</v>
      </c>
      <c r="C288" s="20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22" t="s">
        <v>269</v>
      </c>
      <c r="B289" s="22" t="s">
        <v>44</v>
      </c>
      <c r="C289" s="29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22" t="s">
        <v>270</v>
      </c>
      <c r="B290" s="22" t="s">
        <v>44</v>
      </c>
      <c r="C290" s="29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22" t="s">
        <v>271</v>
      </c>
      <c r="B291" s="22" t="s">
        <v>44</v>
      </c>
      <c r="C291" s="29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39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39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35" t="s">
        <v>272</v>
      </c>
      <c r="B294" s="36"/>
      <c r="C294" s="3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22" t="s">
        <v>273</v>
      </c>
      <c r="B295" s="40" t="s">
        <v>44</v>
      </c>
      <c r="C295" s="38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22" t="s">
        <v>274</v>
      </c>
      <c r="B296" s="22" t="s">
        <v>44</v>
      </c>
      <c r="C296" s="20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22" t="s">
        <v>275</v>
      </c>
      <c r="B297" s="22" t="s">
        <v>44</v>
      </c>
      <c r="C297" s="20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22" t="s">
        <v>276</v>
      </c>
      <c r="B298" s="22" t="s">
        <v>44</v>
      </c>
      <c r="C298" s="20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22" t="s">
        <v>277</v>
      </c>
      <c r="B299" s="22" t="s">
        <v>44</v>
      </c>
      <c r="C299" s="29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22" t="s">
        <v>278</v>
      </c>
      <c r="B300" s="22" t="s">
        <v>44</v>
      </c>
      <c r="C300" s="29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22" t="s">
        <v>279</v>
      </c>
      <c r="B301" s="22" t="s">
        <v>44</v>
      </c>
      <c r="C301" s="29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39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39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35" t="s">
        <v>280</v>
      </c>
      <c r="B304" s="36"/>
      <c r="C304" s="3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22" t="s">
        <v>281</v>
      </c>
      <c r="B305" s="40" t="s">
        <v>44</v>
      </c>
      <c r="C305" s="38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22" t="s">
        <v>282</v>
      </c>
      <c r="B306" s="22" t="s">
        <v>44</v>
      </c>
      <c r="C306" s="20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22" t="s">
        <v>283</v>
      </c>
      <c r="B307" s="22" t="s">
        <v>44</v>
      </c>
      <c r="C307" s="20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22" t="s">
        <v>284</v>
      </c>
      <c r="B308" s="22" t="s">
        <v>44</v>
      </c>
      <c r="C308" s="20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22" t="s">
        <v>285</v>
      </c>
      <c r="B309" s="22" t="s">
        <v>44</v>
      </c>
      <c r="C309" s="29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22" t="s">
        <v>286</v>
      </c>
      <c r="B310" s="22" t="s">
        <v>44</v>
      </c>
      <c r="C310" s="29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22" t="s">
        <v>287</v>
      </c>
      <c r="B311" s="22" t="s">
        <v>44</v>
      </c>
      <c r="C311" s="29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39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39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35" t="s">
        <v>288</v>
      </c>
      <c r="B314" s="36"/>
      <c r="C314" s="3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22" t="s">
        <v>289</v>
      </c>
      <c r="B315" s="40" t="s">
        <v>44</v>
      </c>
      <c r="C315" s="38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22" t="s">
        <v>290</v>
      </c>
      <c r="B316" s="22" t="s">
        <v>44</v>
      </c>
      <c r="C316" s="20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22" t="s">
        <v>291</v>
      </c>
      <c r="B317" s="22" t="s">
        <v>44</v>
      </c>
      <c r="C317" s="20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22" t="s">
        <v>292</v>
      </c>
      <c r="B318" s="22" t="s">
        <v>44</v>
      </c>
      <c r="C318" s="20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22" t="s">
        <v>293</v>
      </c>
      <c r="B319" s="22" t="s">
        <v>44</v>
      </c>
      <c r="C319" s="29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22" t="s">
        <v>294</v>
      </c>
      <c r="B320" s="22" t="s">
        <v>44</v>
      </c>
      <c r="C320" s="29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22" t="s">
        <v>295</v>
      </c>
      <c r="B321" s="22" t="s">
        <v>44</v>
      </c>
      <c r="C321" s="29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39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39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35" t="s">
        <v>296</v>
      </c>
      <c r="B324" s="36"/>
      <c r="C324" s="3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22" t="s">
        <v>297</v>
      </c>
      <c r="B325" s="40" t="s">
        <v>44</v>
      </c>
      <c r="C325" s="38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22" t="s">
        <v>298</v>
      </c>
      <c r="B326" s="22" t="s">
        <v>44</v>
      </c>
      <c r="C326" s="20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22" t="s">
        <v>299</v>
      </c>
      <c r="B327" s="22" t="s">
        <v>44</v>
      </c>
      <c r="C327" s="20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22" t="s">
        <v>300</v>
      </c>
      <c r="B328" s="22" t="s">
        <v>44</v>
      </c>
      <c r="C328" s="20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22" t="s">
        <v>301</v>
      </c>
      <c r="B329" s="22" t="s">
        <v>44</v>
      </c>
      <c r="C329" s="29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22" t="s">
        <v>302</v>
      </c>
      <c r="B330" s="22" t="s">
        <v>44</v>
      </c>
      <c r="C330" s="29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22" t="s">
        <v>303</v>
      </c>
      <c r="B331" s="22" t="s">
        <v>44</v>
      </c>
      <c r="C331" s="29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39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39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35" t="s">
        <v>304</v>
      </c>
      <c r="B334" s="36"/>
      <c r="C334" s="3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22" t="s">
        <v>305</v>
      </c>
      <c r="B335" s="40" t="s">
        <v>44</v>
      </c>
      <c r="C335" s="38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22" t="s">
        <v>306</v>
      </c>
      <c r="B336" s="22" t="s">
        <v>44</v>
      </c>
      <c r="C336" s="20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22" t="s">
        <v>307</v>
      </c>
      <c r="B337" s="22" t="s">
        <v>44</v>
      </c>
      <c r="C337" s="20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22" t="s">
        <v>308</v>
      </c>
      <c r="B338" s="22" t="s">
        <v>44</v>
      </c>
      <c r="C338" s="20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22" t="s">
        <v>309</v>
      </c>
      <c r="B339" s="22" t="s">
        <v>44</v>
      </c>
      <c r="C339" s="29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22" t="s">
        <v>310</v>
      </c>
      <c r="B340" s="22" t="s">
        <v>44</v>
      </c>
      <c r="C340" s="29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22" t="s">
        <v>311</v>
      </c>
      <c r="B341" s="22" t="s">
        <v>44</v>
      </c>
      <c r="C341" s="29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39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39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35" t="s">
        <v>312</v>
      </c>
      <c r="B344" s="36"/>
      <c r="C344" s="3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22" t="s">
        <v>313</v>
      </c>
      <c r="B345" s="40" t="s">
        <v>44</v>
      </c>
      <c r="C345" s="38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22" t="s">
        <v>314</v>
      </c>
      <c r="B346" s="22" t="s">
        <v>44</v>
      </c>
      <c r="C346" s="20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22" t="s">
        <v>315</v>
      </c>
      <c r="B347" s="22" t="s">
        <v>44</v>
      </c>
      <c r="C347" s="20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22" t="s">
        <v>316</v>
      </c>
      <c r="B348" s="22" t="s">
        <v>44</v>
      </c>
      <c r="C348" s="20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22" t="s">
        <v>317</v>
      </c>
      <c r="B349" s="22" t="s">
        <v>44</v>
      </c>
      <c r="C349" s="29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22" t="s">
        <v>318</v>
      </c>
      <c r="B350" s="22" t="s">
        <v>44</v>
      </c>
      <c r="C350" s="29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22" t="s">
        <v>319</v>
      </c>
      <c r="B351" s="22" t="s">
        <v>44</v>
      </c>
      <c r="C351" s="29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39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39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35" t="s">
        <v>320</v>
      </c>
      <c r="B354" s="36"/>
      <c r="C354" s="3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22" t="s">
        <v>321</v>
      </c>
      <c r="B355" s="40" t="s">
        <v>44</v>
      </c>
      <c r="C355" s="38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22" t="s">
        <v>322</v>
      </c>
      <c r="B356" s="22" t="s">
        <v>44</v>
      </c>
      <c r="C356" s="20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22" t="s">
        <v>323</v>
      </c>
      <c r="B357" s="22" t="s">
        <v>44</v>
      </c>
      <c r="C357" s="20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22" t="s">
        <v>324</v>
      </c>
      <c r="B358" s="22" t="s">
        <v>44</v>
      </c>
      <c r="C358" s="20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22" t="s">
        <v>325</v>
      </c>
      <c r="B359" s="22" t="s">
        <v>44</v>
      </c>
      <c r="C359" s="29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22" t="s">
        <v>326</v>
      </c>
      <c r="B360" s="22" t="s">
        <v>44</v>
      </c>
      <c r="C360" s="29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22" t="s">
        <v>327</v>
      </c>
      <c r="B361" s="22" t="s">
        <v>44</v>
      </c>
      <c r="C361" s="29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39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39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35" t="s">
        <v>328</v>
      </c>
      <c r="B364" s="36"/>
      <c r="C364" s="3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22" t="s">
        <v>329</v>
      </c>
      <c r="B365" s="40" t="s">
        <v>44</v>
      </c>
      <c r="C365" s="38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22" t="s">
        <v>330</v>
      </c>
      <c r="B366" s="22" t="s">
        <v>44</v>
      </c>
      <c r="C366" s="20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22" t="s">
        <v>331</v>
      </c>
      <c r="B367" s="22" t="s">
        <v>44</v>
      </c>
      <c r="C367" s="20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22" t="s">
        <v>332</v>
      </c>
      <c r="B368" s="22" t="s">
        <v>44</v>
      </c>
      <c r="C368" s="20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22" t="s">
        <v>333</v>
      </c>
      <c r="B369" s="22" t="s">
        <v>44</v>
      </c>
      <c r="C369" s="29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22" t="s">
        <v>334</v>
      </c>
      <c r="B370" s="22" t="s">
        <v>44</v>
      </c>
      <c r="C370" s="29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22" t="s">
        <v>335</v>
      </c>
      <c r="B371" s="22" t="s">
        <v>44</v>
      </c>
      <c r="C371" s="29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39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39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35" t="s">
        <v>336</v>
      </c>
      <c r="B374" s="36"/>
      <c r="C374" s="3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22" t="s">
        <v>337</v>
      </c>
      <c r="B375" s="40" t="s">
        <v>44</v>
      </c>
      <c r="C375" s="38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22" t="s">
        <v>338</v>
      </c>
      <c r="B376" s="22" t="s">
        <v>44</v>
      </c>
      <c r="C376" s="20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22" t="s">
        <v>339</v>
      </c>
      <c r="B377" s="22" t="s">
        <v>44</v>
      </c>
      <c r="C377" s="20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22" t="s">
        <v>340</v>
      </c>
      <c r="B378" s="22" t="s">
        <v>44</v>
      </c>
      <c r="C378" s="20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22" t="s">
        <v>341</v>
      </c>
      <c r="B379" s="22" t="s">
        <v>44</v>
      </c>
      <c r="C379" s="29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22" t="s">
        <v>342</v>
      </c>
      <c r="B380" s="22" t="s">
        <v>44</v>
      </c>
      <c r="C380" s="29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22" t="s">
        <v>343</v>
      </c>
      <c r="B381" s="22" t="s">
        <v>44</v>
      </c>
      <c r="C381" s="29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39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39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35" t="s">
        <v>344</v>
      </c>
      <c r="B384" s="36"/>
      <c r="C384" s="3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22" t="s">
        <v>345</v>
      </c>
      <c r="B385" s="40" t="s">
        <v>44</v>
      </c>
      <c r="C385" s="38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22" t="s">
        <v>346</v>
      </c>
      <c r="B386" s="22" t="s">
        <v>44</v>
      </c>
      <c r="C386" s="20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22" t="s">
        <v>347</v>
      </c>
      <c r="B387" s="22" t="s">
        <v>44</v>
      </c>
      <c r="C387" s="20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22" t="s">
        <v>348</v>
      </c>
      <c r="B388" s="22" t="s">
        <v>44</v>
      </c>
      <c r="C388" s="20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22" t="s">
        <v>349</v>
      </c>
      <c r="B389" s="22" t="s">
        <v>44</v>
      </c>
      <c r="C389" s="29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22" t="s">
        <v>350</v>
      </c>
      <c r="B390" s="22" t="s">
        <v>44</v>
      </c>
      <c r="C390" s="29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22" t="s">
        <v>351</v>
      </c>
      <c r="B391" s="22" t="s">
        <v>44</v>
      </c>
      <c r="C391" s="29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39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39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35" t="s">
        <v>352</v>
      </c>
      <c r="B394" s="36"/>
      <c r="C394" s="3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22" t="s">
        <v>353</v>
      </c>
      <c r="B395" s="40" t="s">
        <v>44</v>
      </c>
      <c r="C395" s="38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22" t="s">
        <v>354</v>
      </c>
      <c r="B396" s="22" t="s">
        <v>44</v>
      </c>
      <c r="C396" s="20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22" t="s">
        <v>355</v>
      </c>
      <c r="B397" s="22" t="s">
        <v>44</v>
      </c>
      <c r="C397" s="20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22" t="s">
        <v>356</v>
      </c>
      <c r="B398" s="22" t="s">
        <v>44</v>
      </c>
      <c r="C398" s="20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22" t="s">
        <v>357</v>
      </c>
      <c r="B399" s="22" t="s">
        <v>44</v>
      </c>
      <c r="C399" s="29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22" t="s">
        <v>358</v>
      </c>
      <c r="B400" s="22" t="s">
        <v>44</v>
      </c>
      <c r="C400" s="29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22" t="s">
        <v>359</v>
      </c>
      <c r="B401" s="22" t="s">
        <v>44</v>
      </c>
      <c r="C401" s="29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39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39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35" t="s">
        <v>360</v>
      </c>
      <c r="B404" s="36"/>
      <c r="C404" s="3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22" t="s">
        <v>361</v>
      </c>
      <c r="B405" s="40" t="s">
        <v>44</v>
      </c>
      <c r="C405" s="38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22" t="s">
        <v>362</v>
      </c>
      <c r="B406" s="22" t="s">
        <v>44</v>
      </c>
      <c r="C406" s="20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22" t="s">
        <v>363</v>
      </c>
      <c r="B407" s="22" t="s">
        <v>44</v>
      </c>
      <c r="C407" s="20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22" t="s">
        <v>364</v>
      </c>
      <c r="B408" s="22" t="s">
        <v>44</v>
      </c>
      <c r="C408" s="20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22" t="s">
        <v>365</v>
      </c>
      <c r="B409" s="22" t="s">
        <v>44</v>
      </c>
      <c r="C409" s="29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22" t="s">
        <v>366</v>
      </c>
      <c r="B410" s="22" t="s">
        <v>44</v>
      </c>
      <c r="C410" s="29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22" t="s">
        <v>367</v>
      </c>
      <c r="B411" s="22" t="s">
        <v>44</v>
      </c>
      <c r="C411" s="29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39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39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35" t="s">
        <v>368</v>
      </c>
      <c r="B414" s="36"/>
      <c r="C414" s="3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22" t="s">
        <v>369</v>
      </c>
      <c r="B415" s="40" t="s">
        <v>44</v>
      </c>
      <c r="C415" s="38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22" t="s">
        <v>370</v>
      </c>
      <c r="B416" s="22" t="s">
        <v>44</v>
      </c>
      <c r="C416" s="20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22" t="s">
        <v>371</v>
      </c>
      <c r="B417" s="22" t="s">
        <v>44</v>
      </c>
      <c r="C417" s="20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22" t="s">
        <v>372</v>
      </c>
      <c r="B418" s="22" t="s">
        <v>44</v>
      </c>
      <c r="C418" s="20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22" t="s">
        <v>373</v>
      </c>
      <c r="B419" s="22" t="s">
        <v>44</v>
      </c>
      <c r="C419" s="29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22" t="s">
        <v>374</v>
      </c>
      <c r="B420" s="22" t="s">
        <v>44</v>
      </c>
      <c r="C420" s="29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22" t="s">
        <v>375</v>
      </c>
      <c r="B421" s="22" t="s">
        <v>44</v>
      </c>
      <c r="C421" s="29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39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39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35" t="s">
        <v>376</v>
      </c>
      <c r="B424" s="36"/>
      <c r="C424" s="3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22" t="s">
        <v>377</v>
      </c>
      <c r="B425" s="40" t="s">
        <v>44</v>
      </c>
      <c r="C425" s="38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22" t="s">
        <v>378</v>
      </c>
      <c r="B426" s="22" t="s">
        <v>44</v>
      </c>
      <c r="C426" s="20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22" t="s">
        <v>379</v>
      </c>
      <c r="B427" s="22" t="s">
        <v>44</v>
      </c>
      <c r="C427" s="20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22" t="s">
        <v>380</v>
      </c>
      <c r="B428" s="22" t="s">
        <v>44</v>
      </c>
      <c r="C428" s="20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22" t="s">
        <v>381</v>
      </c>
      <c r="B429" s="22" t="s">
        <v>44</v>
      </c>
      <c r="C429" s="29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22" t="s">
        <v>382</v>
      </c>
      <c r="B430" s="22" t="s">
        <v>44</v>
      </c>
      <c r="C430" s="29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22" t="s">
        <v>383</v>
      </c>
      <c r="B431" s="22" t="s">
        <v>44</v>
      </c>
      <c r="C431" s="29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39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39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35" t="s">
        <v>384</v>
      </c>
      <c r="B434" s="36"/>
      <c r="C434" s="3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22" t="s">
        <v>385</v>
      </c>
      <c r="B435" s="40" t="s">
        <v>44</v>
      </c>
      <c r="C435" s="38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22" t="s">
        <v>386</v>
      </c>
      <c r="B436" s="22" t="s">
        <v>44</v>
      </c>
      <c r="C436" s="20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22" t="s">
        <v>387</v>
      </c>
      <c r="B437" s="22" t="s">
        <v>44</v>
      </c>
      <c r="C437" s="20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22" t="s">
        <v>388</v>
      </c>
      <c r="B438" s="22" t="s">
        <v>44</v>
      </c>
      <c r="C438" s="20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22" t="s">
        <v>389</v>
      </c>
      <c r="B439" s="22" t="s">
        <v>44</v>
      </c>
      <c r="C439" s="29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22" t="s">
        <v>390</v>
      </c>
      <c r="B440" s="22" t="s">
        <v>44</v>
      </c>
      <c r="C440" s="29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22" t="s">
        <v>391</v>
      </c>
      <c r="B441" s="22" t="s">
        <v>44</v>
      </c>
      <c r="C441" s="29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39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39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35" t="s">
        <v>392</v>
      </c>
      <c r="B444" s="36"/>
      <c r="C444" s="3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22" t="s">
        <v>393</v>
      </c>
      <c r="B445" s="40" t="s">
        <v>44</v>
      </c>
      <c r="C445" s="38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22" t="s">
        <v>394</v>
      </c>
      <c r="B446" s="22" t="s">
        <v>44</v>
      </c>
      <c r="C446" s="20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22" t="s">
        <v>395</v>
      </c>
      <c r="B447" s="22" t="s">
        <v>44</v>
      </c>
      <c r="C447" s="20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22" t="s">
        <v>396</v>
      </c>
      <c r="B448" s="22" t="s">
        <v>44</v>
      </c>
      <c r="C448" s="20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22" t="s">
        <v>397</v>
      </c>
      <c r="B449" s="22" t="s">
        <v>44</v>
      </c>
      <c r="C449" s="29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22" t="s">
        <v>398</v>
      </c>
      <c r="B450" s="22" t="s">
        <v>44</v>
      </c>
      <c r="C450" s="29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22" t="s">
        <v>399</v>
      </c>
      <c r="B451" s="22" t="s">
        <v>44</v>
      </c>
      <c r="C451" s="29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39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39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35" t="s">
        <v>400</v>
      </c>
      <c r="B454" s="36"/>
      <c r="C454" s="3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22" t="s">
        <v>401</v>
      </c>
      <c r="B455" s="40" t="s">
        <v>44</v>
      </c>
      <c r="C455" s="38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22" t="s">
        <v>402</v>
      </c>
      <c r="B456" s="22" t="s">
        <v>44</v>
      </c>
      <c r="C456" s="20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22" t="s">
        <v>403</v>
      </c>
      <c r="B457" s="22" t="s">
        <v>44</v>
      </c>
      <c r="C457" s="20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22" t="s">
        <v>404</v>
      </c>
      <c r="B458" s="22" t="s">
        <v>44</v>
      </c>
      <c r="C458" s="20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22" t="s">
        <v>405</v>
      </c>
      <c r="B459" s="22" t="s">
        <v>44</v>
      </c>
      <c r="C459" s="29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22" t="s">
        <v>406</v>
      </c>
      <c r="B460" s="22" t="s">
        <v>44</v>
      </c>
      <c r="C460" s="29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22" t="s">
        <v>407</v>
      </c>
      <c r="B461" s="22" t="s">
        <v>44</v>
      </c>
      <c r="C461" s="29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39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39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35" t="s">
        <v>408</v>
      </c>
      <c r="B464" s="36"/>
      <c r="C464" s="3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22" t="s">
        <v>409</v>
      </c>
      <c r="B465" s="40" t="s">
        <v>44</v>
      </c>
      <c r="C465" s="38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22" t="s">
        <v>410</v>
      </c>
      <c r="B466" s="22" t="s">
        <v>44</v>
      </c>
      <c r="C466" s="20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22" t="s">
        <v>411</v>
      </c>
      <c r="B467" s="22" t="s">
        <v>44</v>
      </c>
      <c r="C467" s="20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22" t="s">
        <v>412</v>
      </c>
      <c r="B468" s="22" t="s">
        <v>44</v>
      </c>
      <c r="C468" s="20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22" t="s">
        <v>413</v>
      </c>
      <c r="B469" s="22" t="s">
        <v>44</v>
      </c>
      <c r="C469" s="29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22" t="s">
        <v>414</v>
      </c>
      <c r="B470" s="22" t="s">
        <v>44</v>
      </c>
      <c r="C470" s="29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22" t="s">
        <v>415</v>
      </c>
      <c r="B471" s="22" t="s">
        <v>44</v>
      </c>
      <c r="C471" s="29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39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39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35" t="s">
        <v>416</v>
      </c>
      <c r="B474" s="36"/>
      <c r="C474" s="3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22" t="s">
        <v>417</v>
      </c>
      <c r="B475" s="40" t="s">
        <v>44</v>
      </c>
      <c r="C475" s="38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22" t="s">
        <v>418</v>
      </c>
      <c r="B476" s="22" t="s">
        <v>44</v>
      </c>
      <c r="C476" s="20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22" t="s">
        <v>419</v>
      </c>
      <c r="B477" s="22" t="s">
        <v>44</v>
      </c>
      <c r="C477" s="20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22" t="s">
        <v>420</v>
      </c>
      <c r="B478" s="22" t="s">
        <v>44</v>
      </c>
      <c r="C478" s="20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22" t="s">
        <v>421</v>
      </c>
      <c r="B479" s="22" t="s">
        <v>44</v>
      </c>
      <c r="C479" s="29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22" t="s">
        <v>422</v>
      </c>
      <c r="B480" s="22" t="s">
        <v>44</v>
      </c>
      <c r="C480" s="29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22" t="s">
        <v>423</v>
      </c>
      <c r="B481" s="22" t="s">
        <v>44</v>
      </c>
      <c r="C481" s="29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39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39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35" t="s">
        <v>424</v>
      </c>
      <c r="B484" s="36"/>
      <c r="C484" s="3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22" t="s">
        <v>425</v>
      </c>
      <c r="B485" s="40" t="s">
        <v>44</v>
      </c>
      <c r="C485" s="38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22" t="s">
        <v>426</v>
      </c>
      <c r="B486" s="22" t="s">
        <v>44</v>
      </c>
      <c r="C486" s="20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22" t="s">
        <v>427</v>
      </c>
      <c r="B487" s="22" t="s">
        <v>44</v>
      </c>
      <c r="C487" s="20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22" t="s">
        <v>428</v>
      </c>
      <c r="B488" s="22" t="s">
        <v>44</v>
      </c>
      <c r="C488" s="20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22" t="s">
        <v>429</v>
      </c>
      <c r="B489" s="22" t="s">
        <v>44</v>
      </c>
      <c r="C489" s="29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22" t="s">
        <v>430</v>
      </c>
      <c r="B490" s="22" t="s">
        <v>44</v>
      </c>
      <c r="C490" s="29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22" t="s">
        <v>431</v>
      </c>
      <c r="B491" s="22" t="s">
        <v>44</v>
      </c>
      <c r="C491" s="29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39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39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35" t="s">
        <v>432</v>
      </c>
      <c r="B494" s="36"/>
      <c r="C494" s="3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22" t="s">
        <v>433</v>
      </c>
      <c r="B495" s="40" t="s">
        <v>44</v>
      </c>
      <c r="C495" s="38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22" t="s">
        <v>434</v>
      </c>
      <c r="B496" s="22" t="s">
        <v>44</v>
      </c>
      <c r="C496" s="20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22" t="s">
        <v>435</v>
      </c>
      <c r="B497" s="22" t="s">
        <v>44</v>
      </c>
      <c r="C497" s="20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22" t="s">
        <v>436</v>
      </c>
      <c r="B498" s="22" t="s">
        <v>44</v>
      </c>
      <c r="C498" s="20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22" t="s">
        <v>437</v>
      </c>
      <c r="B499" s="22" t="s">
        <v>44</v>
      </c>
      <c r="C499" s="29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22" t="s">
        <v>438</v>
      </c>
      <c r="B500" s="22" t="s">
        <v>44</v>
      </c>
      <c r="C500" s="29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22" t="s">
        <v>439</v>
      </c>
      <c r="B501" s="22" t="s">
        <v>44</v>
      </c>
      <c r="C501" s="29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39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39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35" t="s">
        <v>440</v>
      </c>
      <c r="B504" s="36"/>
      <c r="C504" s="3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22" t="s">
        <v>441</v>
      </c>
      <c r="B505" s="40" t="s">
        <v>44</v>
      </c>
      <c r="C505" s="38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22" t="s">
        <v>442</v>
      </c>
      <c r="B506" s="22" t="s">
        <v>44</v>
      </c>
      <c r="C506" s="20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22" t="s">
        <v>443</v>
      </c>
      <c r="B507" s="22" t="s">
        <v>44</v>
      </c>
      <c r="C507" s="20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22" t="s">
        <v>444</v>
      </c>
      <c r="B508" s="22" t="s">
        <v>44</v>
      </c>
      <c r="C508" s="20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22" t="s">
        <v>445</v>
      </c>
      <c r="B509" s="22" t="s">
        <v>44</v>
      </c>
      <c r="C509" s="29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22" t="s">
        <v>446</v>
      </c>
      <c r="B510" s="22" t="s">
        <v>44</v>
      </c>
      <c r="C510" s="29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22" t="s">
        <v>447</v>
      </c>
      <c r="B511" s="22" t="s">
        <v>44</v>
      </c>
      <c r="C511" s="29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39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39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35" t="s">
        <v>448</v>
      </c>
      <c r="B514" s="36"/>
      <c r="C514" s="3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22" t="s">
        <v>449</v>
      </c>
      <c r="B515" s="40" t="s">
        <v>44</v>
      </c>
      <c r="C515" s="38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22" t="s">
        <v>450</v>
      </c>
      <c r="B516" s="22" t="s">
        <v>44</v>
      </c>
      <c r="C516" s="20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22" t="s">
        <v>451</v>
      </c>
      <c r="B517" s="22" t="s">
        <v>44</v>
      </c>
      <c r="C517" s="20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22" t="s">
        <v>452</v>
      </c>
      <c r="B518" s="22" t="s">
        <v>44</v>
      </c>
      <c r="C518" s="20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22" t="s">
        <v>453</v>
      </c>
      <c r="B519" s="22" t="s">
        <v>44</v>
      </c>
      <c r="C519" s="29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22" t="s">
        <v>454</v>
      </c>
      <c r="B520" s="22" t="s">
        <v>44</v>
      </c>
      <c r="C520" s="29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22" t="s">
        <v>455</v>
      </c>
      <c r="B521" s="22" t="s">
        <v>44</v>
      </c>
      <c r="C521" s="29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</sheetData>
  <mergeCells count="3">
    <mergeCell ref="A1:A2"/>
    <mergeCell ref="B1:B2"/>
    <mergeCell ref="C1:C2"/>
  </mergeCells>
  <dataValidations>
    <dataValidation type="list" allowBlank="1" sqref="B5:B11 B15:B21 B25:B31 B35:B41 B45:B51 B55:B61 B65:B71 B75:B81 B85:B91 B95:B101 B105:B111 B115:B121 B125:B131 B135:B141 B145:B151 B155:B161 B165:B171 B175:B181 B185:B191 B195:B201 B205:B211 B215:B221 B225:B231 B235:B241 B245:B251 B255:B261 B265:B271 B275:B281 B285:B291 B295:B301 B305:B311 B315:B321 B325:B331 B335:B341 B345:B351 B355:B361 B365:B371 B375:B381 B385:B391 B395:B401 B405:B411 B415:B421 B425:B431 B435:B441 B445:B451 B455:B461 B465:B471 B475:B481 B485:B491 B495:B501 B505:B511 B515:B521">
      <formula1>"Click to select,Films,Tv Series,Podcasts,YouTube videos,Radio,Mixed"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38"/>
    <col customWidth="1" min="2" max="2" width="24.13"/>
    <col customWidth="1" min="3" max="3" width="10.88"/>
    <col customWidth="1" min="4" max="4" width="15.0"/>
  </cols>
  <sheetData>
    <row r="1">
      <c r="A1" s="32" t="s">
        <v>456</v>
      </c>
      <c r="B1" s="33" t="s">
        <v>41</v>
      </c>
      <c r="C1" s="33" t="s">
        <v>42</v>
      </c>
      <c r="D1" s="3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>
      <c r="A2" s="21"/>
      <c r="B2" s="21"/>
      <c r="C2" s="21"/>
      <c r="D2" s="34">
        <f>SUM(C4:C521)/60</f>
        <v>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>
      <c r="A4" s="35" t="s">
        <v>6</v>
      </c>
      <c r="B4" s="36"/>
      <c r="C4" s="41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>
      <c r="A5" s="22" t="s">
        <v>43</v>
      </c>
      <c r="B5" s="22" t="s">
        <v>44</v>
      </c>
      <c r="C5" s="38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>
      <c r="A6" s="22" t="s">
        <v>45</v>
      </c>
      <c r="B6" s="22" t="s">
        <v>44</v>
      </c>
      <c r="C6" s="20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>
      <c r="A7" s="22" t="s">
        <v>46</v>
      </c>
      <c r="B7" s="22" t="s">
        <v>44</v>
      </c>
      <c r="C7" s="20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>
      <c r="A8" s="22" t="s">
        <v>47</v>
      </c>
      <c r="B8" s="22" t="s">
        <v>44</v>
      </c>
      <c r="C8" s="20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>
      <c r="A9" s="22" t="s">
        <v>48</v>
      </c>
      <c r="B9" s="22" t="s">
        <v>44</v>
      </c>
      <c r="C9" s="20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>
      <c r="A10" s="22" t="s">
        <v>49</v>
      </c>
      <c r="B10" s="22" t="s">
        <v>44</v>
      </c>
      <c r="C10" s="29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>
      <c r="A11" s="22" t="s">
        <v>50</v>
      </c>
      <c r="B11" s="22" t="s">
        <v>44</v>
      </c>
      <c r="C11" s="29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>
      <c r="A12" s="5"/>
      <c r="B12" s="5"/>
      <c r="C12" s="39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>
      <c r="A13" s="5"/>
      <c r="B13" s="5"/>
      <c r="C13" s="39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>
      <c r="A14" s="35" t="s">
        <v>11</v>
      </c>
      <c r="B14" s="36"/>
      <c r="C14" s="41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>
      <c r="A15" s="22" t="s">
        <v>51</v>
      </c>
      <c r="B15" s="40" t="s">
        <v>44</v>
      </c>
      <c r="C15" s="38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>
      <c r="A16" s="22" t="s">
        <v>52</v>
      </c>
      <c r="B16" s="22" t="s">
        <v>44</v>
      </c>
      <c r="C16" s="20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>
      <c r="A17" s="22" t="s">
        <v>53</v>
      </c>
      <c r="B17" s="22" t="s">
        <v>44</v>
      </c>
      <c r="C17" s="20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>
      <c r="A18" s="22" t="s">
        <v>54</v>
      </c>
      <c r="B18" s="22" t="s">
        <v>44</v>
      </c>
      <c r="C18" s="20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>
      <c r="A19" s="22" t="s">
        <v>55</v>
      </c>
      <c r="B19" s="22" t="s">
        <v>44</v>
      </c>
      <c r="C19" s="20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>
      <c r="A20" s="22" t="s">
        <v>56</v>
      </c>
      <c r="B20" s="22" t="s">
        <v>44</v>
      </c>
      <c r="C20" s="29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>
      <c r="A21" s="22" t="s">
        <v>57</v>
      </c>
      <c r="B21" s="22" t="s">
        <v>44</v>
      </c>
      <c r="C21" s="29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>
      <c r="A22" s="5"/>
      <c r="B22" s="5"/>
      <c r="C22" s="39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>
      <c r="A23" s="5"/>
      <c r="B23" s="5"/>
      <c r="C23" s="39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>
      <c r="A24" s="35" t="s">
        <v>14</v>
      </c>
      <c r="B24" s="36"/>
      <c r="C24" s="41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>
      <c r="A25" s="22" t="s">
        <v>58</v>
      </c>
      <c r="B25" s="40" t="s">
        <v>44</v>
      </c>
      <c r="C25" s="38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>
      <c r="A26" s="22" t="s">
        <v>59</v>
      </c>
      <c r="B26" s="22" t="s">
        <v>44</v>
      </c>
      <c r="C26" s="20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>
      <c r="A27" s="22" t="s">
        <v>60</v>
      </c>
      <c r="B27" s="22" t="s">
        <v>44</v>
      </c>
      <c r="C27" s="20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>
      <c r="A28" s="22" t="s">
        <v>61</v>
      </c>
      <c r="B28" s="22" t="s">
        <v>44</v>
      </c>
      <c r="C28" s="20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>
      <c r="A29" s="22" t="s">
        <v>62</v>
      </c>
      <c r="B29" s="22" t="s">
        <v>44</v>
      </c>
      <c r="C29" s="20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>
      <c r="A30" s="22" t="s">
        <v>63</v>
      </c>
      <c r="B30" s="22" t="s">
        <v>44</v>
      </c>
      <c r="C30" s="29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>
      <c r="A31" s="22" t="s">
        <v>64</v>
      </c>
      <c r="B31" s="22" t="s">
        <v>44</v>
      </c>
      <c r="C31" s="29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>
      <c r="A32" s="5"/>
      <c r="B32" s="5"/>
      <c r="C32" s="39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>
      <c r="A33" s="5"/>
      <c r="B33" s="5"/>
      <c r="C33" s="39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>
      <c r="A34" s="35" t="s">
        <v>17</v>
      </c>
      <c r="B34" s="36"/>
      <c r="C34" s="41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>
      <c r="A35" s="22" t="s">
        <v>65</v>
      </c>
      <c r="B35" s="40" t="s">
        <v>44</v>
      </c>
      <c r="C35" s="38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>
      <c r="A36" s="22" t="s">
        <v>66</v>
      </c>
      <c r="B36" s="22" t="s">
        <v>44</v>
      </c>
      <c r="C36" s="20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>
      <c r="A37" s="22" t="s">
        <v>67</v>
      </c>
      <c r="B37" s="22" t="s">
        <v>44</v>
      </c>
      <c r="C37" s="20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>
      <c r="A38" s="22" t="s">
        <v>68</v>
      </c>
      <c r="B38" s="22" t="s">
        <v>44</v>
      </c>
      <c r="C38" s="20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>
      <c r="A39" s="22" t="s">
        <v>69</v>
      </c>
      <c r="B39" s="22" t="s">
        <v>44</v>
      </c>
      <c r="C39" s="20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>
      <c r="A40" s="22" t="s">
        <v>70</v>
      </c>
      <c r="B40" s="22" t="s">
        <v>44</v>
      </c>
      <c r="C40" s="29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>
      <c r="A41" s="22" t="s">
        <v>71</v>
      </c>
      <c r="B41" s="22" t="s">
        <v>44</v>
      </c>
      <c r="C41" s="29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>
      <c r="A42" s="5"/>
      <c r="B42" s="5"/>
      <c r="C42" s="39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>
      <c r="A43" s="5"/>
      <c r="B43" s="5"/>
      <c r="C43" s="39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>
      <c r="A44" s="35" t="s">
        <v>72</v>
      </c>
      <c r="B44" s="36"/>
      <c r="C44" s="41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>
      <c r="A45" s="22" t="s">
        <v>73</v>
      </c>
      <c r="B45" s="40" t="s">
        <v>44</v>
      </c>
      <c r="C45" s="38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>
      <c r="A46" s="22" t="s">
        <v>74</v>
      </c>
      <c r="B46" s="22" t="s">
        <v>44</v>
      </c>
      <c r="C46" s="20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>
      <c r="A47" s="22" t="s">
        <v>75</v>
      </c>
      <c r="B47" s="22" t="s">
        <v>44</v>
      </c>
      <c r="C47" s="20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>
      <c r="A48" s="22" t="s">
        <v>76</v>
      </c>
      <c r="B48" s="22" t="s">
        <v>44</v>
      </c>
      <c r="C48" s="20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>
      <c r="A49" s="22" t="s">
        <v>77</v>
      </c>
      <c r="B49" s="22" t="s">
        <v>44</v>
      </c>
      <c r="C49" s="20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>
      <c r="A50" s="22" t="s">
        <v>78</v>
      </c>
      <c r="B50" s="22" t="s">
        <v>44</v>
      </c>
      <c r="C50" s="29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>
      <c r="A51" s="22" t="s">
        <v>79</v>
      </c>
      <c r="B51" s="22" t="s">
        <v>44</v>
      </c>
      <c r="C51" s="29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>
      <c r="A52" s="5"/>
      <c r="B52" s="5"/>
      <c r="C52" s="39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>
      <c r="A53" s="5"/>
      <c r="B53" s="5"/>
      <c r="C53" s="39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>
      <c r="A54" s="35" t="s">
        <v>80</v>
      </c>
      <c r="B54" s="36"/>
      <c r="C54" s="41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>
      <c r="A55" s="22" t="s">
        <v>81</v>
      </c>
      <c r="B55" s="40" t="s">
        <v>44</v>
      </c>
      <c r="C55" s="38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>
      <c r="A56" s="22" t="s">
        <v>82</v>
      </c>
      <c r="B56" s="22" t="s">
        <v>44</v>
      </c>
      <c r="C56" s="20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>
      <c r="A57" s="22" t="s">
        <v>83</v>
      </c>
      <c r="B57" s="22" t="s">
        <v>44</v>
      </c>
      <c r="C57" s="20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>
      <c r="A58" s="22" t="s">
        <v>84</v>
      </c>
      <c r="B58" s="22" t="s">
        <v>44</v>
      </c>
      <c r="C58" s="20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>
      <c r="A59" s="22" t="s">
        <v>85</v>
      </c>
      <c r="B59" s="22" t="s">
        <v>44</v>
      </c>
      <c r="C59" s="20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>
      <c r="A60" s="22" t="s">
        <v>86</v>
      </c>
      <c r="B60" s="22" t="s">
        <v>44</v>
      </c>
      <c r="C60" s="29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>
      <c r="A61" s="22" t="s">
        <v>87</v>
      </c>
      <c r="B61" s="22" t="s">
        <v>44</v>
      </c>
      <c r="C61" s="29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>
      <c r="A62" s="5"/>
      <c r="B62" s="5"/>
      <c r="C62" s="39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>
      <c r="A63" s="5"/>
      <c r="B63" s="5"/>
      <c r="C63" s="39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>
      <c r="A64" s="35" t="s">
        <v>88</v>
      </c>
      <c r="B64" s="36"/>
      <c r="C64" s="41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>
      <c r="A65" s="22" t="s">
        <v>89</v>
      </c>
      <c r="B65" s="40" t="s">
        <v>44</v>
      </c>
      <c r="C65" s="38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>
      <c r="A66" s="22" t="s">
        <v>90</v>
      </c>
      <c r="B66" s="22" t="s">
        <v>44</v>
      </c>
      <c r="C66" s="20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>
      <c r="A67" s="22" t="s">
        <v>91</v>
      </c>
      <c r="B67" s="22" t="s">
        <v>44</v>
      </c>
      <c r="C67" s="20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>
      <c r="A68" s="22" t="s">
        <v>92</v>
      </c>
      <c r="B68" s="22" t="s">
        <v>44</v>
      </c>
      <c r="C68" s="20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>
      <c r="A69" s="22" t="s">
        <v>93</v>
      </c>
      <c r="B69" s="22" t="s">
        <v>44</v>
      </c>
      <c r="C69" s="20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>
      <c r="A70" s="22" t="s">
        <v>94</v>
      </c>
      <c r="B70" s="22" t="s">
        <v>44</v>
      </c>
      <c r="C70" s="29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>
      <c r="A71" s="22" t="s">
        <v>95</v>
      </c>
      <c r="B71" s="22" t="s">
        <v>44</v>
      </c>
      <c r="C71" s="29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>
      <c r="A72" s="5"/>
      <c r="B72" s="5"/>
      <c r="C72" s="39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>
      <c r="A73" s="5"/>
      <c r="B73" s="5"/>
      <c r="C73" s="39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>
      <c r="A74" s="35" t="s">
        <v>96</v>
      </c>
      <c r="B74" s="36"/>
      <c r="C74" s="41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>
      <c r="A75" s="22" t="s">
        <v>97</v>
      </c>
      <c r="B75" s="40" t="s">
        <v>44</v>
      </c>
      <c r="C75" s="38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>
      <c r="A76" s="22" t="s">
        <v>98</v>
      </c>
      <c r="B76" s="22" t="s">
        <v>44</v>
      </c>
      <c r="C76" s="20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>
      <c r="A77" s="22" t="s">
        <v>99</v>
      </c>
      <c r="B77" s="22" t="s">
        <v>44</v>
      </c>
      <c r="C77" s="20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>
      <c r="A78" s="22" t="s">
        <v>100</v>
      </c>
      <c r="B78" s="22" t="s">
        <v>44</v>
      </c>
      <c r="C78" s="20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>
      <c r="A79" s="22" t="s">
        <v>101</v>
      </c>
      <c r="B79" s="22" t="s">
        <v>44</v>
      </c>
      <c r="C79" s="20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>
      <c r="A80" s="22" t="s">
        <v>102</v>
      </c>
      <c r="B80" s="22" t="s">
        <v>44</v>
      </c>
      <c r="C80" s="29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>
      <c r="A81" s="22" t="s">
        <v>103</v>
      </c>
      <c r="B81" s="22" t="s">
        <v>44</v>
      </c>
      <c r="C81" s="29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>
      <c r="A82" s="5"/>
      <c r="B82" s="5"/>
      <c r="C82" s="39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>
      <c r="A83" s="5"/>
      <c r="B83" s="5"/>
      <c r="C83" s="39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>
      <c r="A84" s="35" t="s">
        <v>104</v>
      </c>
      <c r="B84" s="36"/>
      <c r="C84" s="41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>
      <c r="A85" s="22" t="s">
        <v>105</v>
      </c>
      <c r="B85" s="40" t="s">
        <v>44</v>
      </c>
      <c r="C85" s="38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>
      <c r="A86" s="22" t="s">
        <v>106</v>
      </c>
      <c r="B86" s="22" t="s">
        <v>44</v>
      </c>
      <c r="C86" s="20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>
      <c r="A87" s="22" t="s">
        <v>107</v>
      </c>
      <c r="B87" s="22" t="s">
        <v>44</v>
      </c>
      <c r="C87" s="20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>
      <c r="A88" s="22" t="s">
        <v>108</v>
      </c>
      <c r="B88" s="22" t="s">
        <v>44</v>
      </c>
      <c r="C88" s="20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>
      <c r="A89" s="22" t="s">
        <v>109</v>
      </c>
      <c r="B89" s="22" t="s">
        <v>44</v>
      </c>
      <c r="C89" s="20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>
      <c r="A90" s="22" t="s">
        <v>110</v>
      </c>
      <c r="B90" s="22" t="s">
        <v>44</v>
      </c>
      <c r="C90" s="29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>
      <c r="A91" s="22" t="s">
        <v>111</v>
      </c>
      <c r="B91" s="22" t="s">
        <v>44</v>
      </c>
      <c r="C91" s="29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>
      <c r="A92" s="5"/>
      <c r="B92" s="5"/>
      <c r="C92" s="39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>
      <c r="A93" s="5"/>
      <c r="B93" s="5"/>
      <c r="C93" s="39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>
      <c r="A94" s="35" t="s">
        <v>112</v>
      </c>
      <c r="B94" s="36"/>
      <c r="C94" s="41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>
      <c r="A95" s="22" t="s">
        <v>113</v>
      </c>
      <c r="B95" s="40" t="s">
        <v>44</v>
      </c>
      <c r="C95" s="38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>
      <c r="A96" s="22" t="s">
        <v>114</v>
      </c>
      <c r="B96" s="22" t="s">
        <v>44</v>
      </c>
      <c r="C96" s="20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>
      <c r="A97" s="22" t="s">
        <v>115</v>
      </c>
      <c r="B97" s="22" t="s">
        <v>44</v>
      </c>
      <c r="C97" s="20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>
      <c r="A98" s="22" t="s">
        <v>116</v>
      </c>
      <c r="B98" s="22" t="s">
        <v>44</v>
      </c>
      <c r="C98" s="20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>
      <c r="A99" s="22" t="s">
        <v>117</v>
      </c>
      <c r="B99" s="22" t="s">
        <v>44</v>
      </c>
      <c r="C99" s="20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>
      <c r="A100" s="22" t="s">
        <v>118</v>
      </c>
      <c r="B100" s="22" t="s">
        <v>44</v>
      </c>
      <c r="C100" s="29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>
      <c r="A101" s="22" t="s">
        <v>119</v>
      </c>
      <c r="B101" s="22" t="s">
        <v>44</v>
      </c>
      <c r="C101" s="29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>
      <c r="A102" s="5"/>
      <c r="B102" s="5"/>
      <c r="C102" s="39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>
      <c r="A103" s="5"/>
      <c r="B103" s="5"/>
      <c r="C103" s="39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>
      <c r="A104" s="35" t="s">
        <v>120</v>
      </c>
      <c r="B104" s="36"/>
      <c r="C104" s="41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>
      <c r="A105" s="22" t="s">
        <v>121</v>
      </c>
      <c r="B105" s="40" t="s">
        <v>44</v>
      </c>
      <c r="C105" s="38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>
      <c r="A106" s="22" t="s">
        <v>122</v>
      </c>
      <c r="B106" s="22" t="s">
        <v>44</v>
      </c>
      <c r="C106" s="20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>
      <c r="A107" s="22" t="s">
        <v>123</v>
      </c>
      <c r="B107" s="22" t="s">
        <v>44</v>
      </c>
      <c r="C107" s="20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>
      <c r="A108" s="22" t="s">
        <v>124</v>
      </c>
      <c r="B108" s="22" t="s">
        <v>44</v>
      </c>
      <c r="C108" s="20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>
      <c r="A109" s="22" t="s">
        <v>125</v>
      </c>
      <c r="B109" s="22" t="s">
        <v>44</v>
      </c>
      <c r="C109" s="20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>
      <c r="A110" s="22" t="s">
        <v>126</v>
      </c>
      <c r="B110" s="22" t="s">
        <v>44</v>
      </c>
      <c r="C110" s="29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>
      <c r="A111" s="22" t="s">
        <v>127</v>
      </c>
      <c r="B111" s="22" t="s">
        <v>44</v>
      </c>
      <c r="C111" s="29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>
      <c r="A112" s="5"/>
      <c r="B112" s="5"/>
      <c r="C112" s="39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>
      <c r="A113" s="5"/>
      <c r="B113" s="5"/>
      <c r="C113" s="39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>
      <c r="A114" s="35" t="s">
        <v>128</v>
      </c>
      <c r="B114" s="36"/>
      <c r="C114" s="41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>
      <c r="A115" s="22" t="s">
        <v>129</v>
      </c>
      <c r="B115" s="40" t="s">
        <v>44</v>
      </c>
      <c r="C115" s="38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>
      <c r="A116" s="22" t="s">
        <v>130</v>
      </c>
      <c r="B116" s="22" t="s">
        <v>44</v>
      </c>
      <c r="C116" s="20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>
      <c r="A117" s="22" t="s">
        <v>131</v>
      </c>
      <c r="B117" s="22" t="s">
        <v>44</v>
      </c>
      <c r="C117" s="20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>
      <c r="A118" s="22" t="s">
        <v>132</v>
      </c>
      <c r="B118" s="22" t="s">
        <v>44</v>
      </c>
      <c r="C118" s="20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>
      <c r="A119" s="22" t="s">
        <v>133</v>
      </c>
      <c r="B119" s="22" t="s">
        <v>44</v>
      </c>
      <c r="C119" s="20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>
      <c r="A120" s="22" t="s">
        <v>134</v>
      </c>
      <c r="B120" s="22" t="s">
        <v>44</v>
      </c>
      <c r="C120" s="29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>
      <c r="A121" s="22" t="s">
        <v>135</v>
      </c>
      <c r="B121" s="22" t="s">
        <v>44</v>
      </c>
      <c r="C121" s="29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>
      <c r="A122" s="5"/>
      <c r="B122" s="5"/>
      <c r="C122" s="39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>
      <c r="A123" s="5"/>
      <c r="B123" s="5"/>
      <c r="C123" s="39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>
      <c r="A124" s="35" t="s">
        <v>136</v>
      </c>
      <c r="B124" s="36"/>
      <c r="C124" s="41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>
      <c r="A125" s="22" t="s">
        <v>137</v>
      </c>
      <c r="B125" s="40" t="s">
        <v>44</v>
      </c>
      <c r="C125" s="38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>
      <c r="A126" s="22" t="s">
        <v>138</v>
      </c>
      <c r="B126" s="22" t="s">
        <v>44</v>
      </c>
      <c r="C126" s="20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>
      <c r="A127" s="22" t="s">
        <v>139</v>
      </c>
      <c r="B127" s="22" t="s">
        <v>44</v>
      </c>
      <c r="C127" s="20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>
      <c r="A128" s="22" t="s">
        <v>140</v>
      </c>
      <c r="B128" s="22" t="s">
        <v>44</v>
      </c>
      <c r="C128" s="20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>
      <c r="A129" s="22" t="s">
        <v>141</v>
      </c>
      <c r="B129" s="22" t="s">
        <v>44</v>
      </c>
      <c r="C129" s="20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>
      <c r="A130" s="22" t="s">
        <v>142</v>
      </c>
      <c r="B130" s="22" t="s">
        <v>44</v>
      </c>
      <c r="C130" s="29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>
      <c r="A131" s="22" t="s">
        <v>143</v>
      </c>
      <c r="B131" s="22" t="s">
        <v>44</v>
      </c>
      <c r="C131" s="29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>
      <c r="A132" s="5"/>
      <c r="B132" s="5"/>
      <c r="C132" s="39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>
      <c r="A133" s="5"/>
      <c r="B133" s="5"/>
      <c r="C133" s="39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>
      <c r="A134" s="35" t="s">
        <v>144</v>
      </c>
      <c r="B134" s="36"/>
      <c r="C134" s="41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>
      <c r="A135" s="22" t="s">
        <v>145</v>
      </c>
      <c r="B135" s="40" t="s">
        <v>44</v>
      </c>
      <c r="C135" s="38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>
      <c r="A136" s="22" t="s">
        <v>146</v>
      </c>
      <c r="B136" s="22" t="s">
        <v>44</v>
      </c>
      <c r="C136" s="20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>
      <c r="A137" s="22" t="s">
        <v>147</v>
      </c>
      <c r="B137" s="22" t="s">
        <v>44</v>
      </c>
      <c r="C137" s="20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>
      <c r="A138" s="22" t="s">
        <v>148</v>
      </c>
      <c r="B138" s="22" t="s">
        <v>44</v>
      </c>
      <c r="C138" s="20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>
      <c r="A139" s="22" t="s">
        <v>149</v>
      </c>
      <c r="B139" s="22" t="s">
        <v>44</v>
      </c>
      <c r="C139" s="20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>
      <c r="A140" s="22" t="s">
        <v>150</v>
      </c>
      <c r="B140" s="22" t="s">
        <v>44</v>
      </c>
      <c r="C140" s="29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>
      <c r="A141" s="22" t="s">
        <v>151</v>
      </c>
      <c r="B141" s="22" t="s">
        <v>44</v>
      </c>
      <c r="C141" s="29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>
      <c r="A142" s="5"/>
      <c r="B142" s="5"/>
      <c r="C142" s="39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>
      <c r="A143" s="5"/>
      <c r="B143" s="5"/>
      <c r="C143" s="39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>
      <c r="A144" s="35" t="s">
        <v>152</v>
      </c>
      <c r="B144" s="36"/>
      <c r="C144" s="41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>
      <c r="A145" s="22" t="s">
        <v>153</v>
      </c>
      <c r="B145" s="40" t="s">
        <v>44</v>
      </c>
      <c r="C145" s="38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>
      <c r="A146" s="22" t="s">
        <v>154</v>
      </c>
      <c r="B146" s="22" t="s">
        <v>44</v>
      </c>
      <c r="C146" s="20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>
      <c r="A147" s="22" t="s">
        <v>155</v>
      </c>
      <c r="B147" s="22" t="s">
        <v>44</v>
      </c>
      <c r="C147" s="20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>
      <c r="A148" s="22" t="s">
        <v>156</v>
      </c>
      <c r="B148" s="22" t="s">
        <v>44</v>
      </c>
      <c r="C148" s="20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>
      <c r="A149" s="22" t="s">
        <v>157</v>
      </c>
      <c r="B149" s="22" t="s">
        <v>44</v>
      </c>
      <c r="C149" s="20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>
      <c r="A150" s="22" t="s">
        <v>158</v>
      </c>
      <c r="B150" s="22" t="s">
        <v>44</v>
      </c>
      <c r="C150" s="29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>
      <c r="A151" s="22" t="s">
        <v>159</v>
      </c>
      <c r="B151" s="22" t="s">
        <v>44</v>
      </c>
      <c r="C151" s="29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>
      <c r="A152" s="5"/>
      <c r="B152" s="5"/>
      <c r="C152" s="39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>
      <c r="A153" s="5"/>
      <c r="B153" s="5"/>
      <c r="C153" s="39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>
      <c r="A154" s="35" t="s">
        <v>160</v>
      </c>
      <c r="B154" s="36"/>
      <c r="C154" s="41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>
      <c r="A155" s="22" t="s">
        <v>161</v>
      </c>
      <c r="B155" s="40" t="s">
        <v>44</v>
      </c>
      <c r="C155" s="38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>
      <c r="A156" s="22" t="s">
        <v>162</v>
      </c>
      <c r="B156" s="22" t="s">
        <v>44</v>
      </c>
      <c r="C156" s="20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>
      <c r="A157" s="22" t="s">
        <v>163</v>
      </c>
      <c r="B157" s="22" t="s">
        <v>44</v>
      </c>
      <c r="C157" s="20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>
      <c r="A158" s="22" t="s">
        <v>164</v>
      </c>
      <c r="B158" s="22" t="s">
        <v>44</v>
      </c>
      <c r="C158" s="20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>
      <c r="A159" s="22" t="s">
        <v>165</v>
      </c>
      <c r="B159" s="22" t="s">
        <v>44</v>
      </c>
      <c r="C159" s="20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>
      <c r="A160" s="22" t="s">
        <v>166</v>
      </c>
      <c r="B160" s="22" t="s">
        <v>44</v>
      </c>
      <c r="C160" s="29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>
      <c r="A161" s="22" t="s">
        <v>167</v>
      </c>
      <c r="B161" s="22" t="s">
        <v>44</v>
      </c>
      <c r="C161" s="29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>
      <c r="A162" s="5"/>
      <c r="B162" s="5"/>
      <c r="C162" s="39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>
      <c r="A163" s="5"/>
      <c r="B163" s="5"/>
      <c r="C163" s="39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>
      <c r="A164" s="35" t="s">
        <v>168</v>
      </c>
      <c r="B164" s="36"/>
      <c r="C164" s="41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>
      <c r="A165" s="22" t="s">
        <v>169</v>
      </c>
      <c r="B165" s="40" t="s">
        <v>44</v>
      </c>
      <c r="C165" s="38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>
      <c r="A166" s="22" t="s">
        <v>170</v>
      </c>
      <c r="B166" s="22" t="s">
        <v>44</v>
      </c>
      <c r="C166" s="20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>
      <c r="A167" s="22" t="s">
        <v>171</v>
      </c>
      <c r="B167" s="22" t="s">
        <v>44</v>
      </c>
      <c r="C167" s="20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>
      <c r="A168" s="22" t="s">
        <v>172</v>
      </c>
      <c r="B168" s="22" t="s">
        <v>44</v>
      </c>
      <c r="C168" s="20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>
      <c r="A169" s="22" t="s">
        <v>173</v>
      </c>
      <c r="B169" s="22" t="s">
        <v>44</v>
      </c>
      <c r="C169" s="20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>
      <c r="A170" s="22" t="s">
        <v>174</v>
      </c>
      <c r="B170" s="22" t="s">
        <v>44</v>
      </c>
      <c r="C170" s="29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>
      <c r="A171" s="22" t="s">
        <v>175</v>
      </c>
      <c r="B171" s="22" t="s">
        <v>44</v>
      </c>
      <c r="C171" s="29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>
      <c r="A172" s="5"/>
      <c r="B172" s="5"/>
      <c r="C172" s="39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>
      <c r="A173" s="5"/>
      <c r="B173" s="5"/>
      <c r="C173" s="39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>
      <c r="A174" s="35" t="s">
        <v>176</v>
      </c>
      <c r="B174" s="36"/>
      <c r="C174" s="41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>
      <c r="A175" s="22" t="s">
        <v>177</v>
      </c>
      <c r="B175" s="40" t="s">
        <v>44</v>
      </c>
      <c r="C175" s="38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>
      <c r="A176" s="22" t="s">
        <v>178</v>
      </c>
      <c r="B176" s="22" t="s">
        <v>44</v>
      </c>
      <c r="C176" s="20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>
      <c r="A177" s="22" t="s">
        <v>179</v>
      </c>
      <c r="B177" s="22" t="s">
        <v>44</v>
      </c>
      <c r="C177" s="20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>
      <c r="A178" s="22" t="s">
        <v>180</v>
      </c>
      <c r="B178" s="22" t="s">
        <v>44</v>
      </c>
      <c r="C178" s="20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>
      <c r="A179" s="22" t="s">
        <v>181</v>
      </c>
      <c r="B179" s="22" t="s">
        <v>44</v>
      </c>
      <c r="C179" s="20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>
      <c r="A180" s="22" t="s">
        <v>182</v>
      </c>
      <c r="B180" s="22" t="s">
        <v>44</v>
      </c>
      <c r="C180" s="29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>
      <c r="A181" s="22" t="s">
        <v>183</v>
      </c>
      <c r="B181" s="22" t="s">
        <v>44</v>
      </c>
      <c r="C181" s="29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>
      <c r="A182" s="5"/>
      <c r="B182" s="5"/>
      <c r="C182" s="39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>
      <c r="A183" s="5"/>
      <c r="B183" s="5"/>
      <c r="C183" s="39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>
      <c r="A184" s="35" t="s">
        <v>184</v>
      </c>
      <c r="B184" s="36"/>
      <c r="C184" s="41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>
      <c r="A185" s="22" t="s">
        <v>185</v>
      </c>
      <c r="B185" s="40" t="s">
        <v>44</v>
      </c>
      <c r="C185" s="38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>
      <c r="A186" s="22" t="s">
        <v>186</v>
      </c>
      <c r="B186" s="22" t="s">
        <v>44</v>
      </c>
      <c r="C186" s="20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>
      <c r="A187" s="22" t="s">
        <v>187</v>
      </c>
      <c r="B187" s="22" t="s">
        <v>44</v>
      </c>
      <c r="C187" s="20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>
      <c r="A188" s="22" t="s">
        <v>188</v>
      </c>
      <c r="B188" s="22" t="s">
        <v>44</v>
      </c>
      <c r="C188" s="20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>
      <c r="A189" s="22" t="s">
        <v>189</v>
      </c>
      <c r="B189" s="22" t="s">
        <v>44</v>
      </c>
      <c r="C189" s="20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>
      <c r="A190" s="22" t="s">
        <v>190</v>
      </c>
      <c r="B190" s="22" t="s">
        <v>44</v>
      </c>
      <c r="C190" s="29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>
      <c r="A191" s="22" t="s">
        <v>191</v>
      </c>
      <c r="B191" s="22" t="s">
        <v>44</v>
      </c>
      <c r="C191" s="29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>
      <c r="A192" s="5"/>
      <c r="B192" s="5"/>
      <c r="C192" s="39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>
      <c r="A193" s="5"/>
      <c r="B193" s="5"/>
      <c r="C193" s="39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>
      <c r="A194" s="35" t="s">
        <v>192</v>
      </c>
      <c r="B194" s="36"/>
      <c r="C194" s="41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>
      <c r="A195" s="22" t="s">
        <v>193</v>
      </c>
      <c r="B195" s="40" t="s">
        <v>44</v>
      </c>
      <c r="C195" s="38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>
      <c r="A196" s="22" t="s">
        <v>194</v>
      </c>
      <c r="B196" s="22" t="s">
        <v>44</v>
      </c>
      <c r="C196" s="20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>
      <c r="A197" s="22" t="s">
        <v>195</v>
      </c>
      <c r="B197" s="22" t="s">
        <v>44</v>
      </c>
      <c r="C197" s="20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>
      <c r="A198" s="22" t="s">
        <v>196</v>
      </c>
      <c r="B198" s="22" t="s">
        <v>44</v>
      </c>
      <c r="C198" s="20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>
      <c r="A199" s="22" t="s">
        <v>197</v>
      </c>
      <c r="B199" s="22" t="s">
        <v>44</v>
      </c>
      <c r="C199" s="20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>
      <c r="A200" s="22" t="s">
        <v>198</v>
      </c>
      <c r="B200" s="22" t="s">
        <v>44</v>
      </c>
      <c r="C200" s="29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>
      <c r="A201" s="22" t="s">
        <v>199</v>
      </c>
      <c r="B201" s="22" t="s">
        <v>44</v>
      </c>
      <c r="C201" s="29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>
      <c r="A202" s="5"/>
      <c r="B202" s="5"/>
      <c r="C202" s="39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>
      <c r="A203" s="5"/>
      <c r="B203" s="5"/>
      <c r="C203" s="39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>
      <c r="A204" s="35" t="s">
        <v>200</v>
      </c>
      <c r="B204" s="36"/>
      <c r="C204" s="41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>
      <c r="A205" s="22" t="s">
        <v>201</v>
      </c>
      <c r="B205" s="40" t="s">
        <v>44</v>
      </c>
      <c r="C205" s="38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>
      <c r="A206" s="22" t="s">
        <v>202</v>
      </c>
      <c r="B206" s="22" t="s">
        <v>44</v>
      </c>
      <c r="C206" s="20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>
      <c r="A207" s="22" t="s">
        <v>203</v>
      </c>
      <c r="B207" s="22" t="s">
        <v>44</v>
      </c>
      <c r="C207" s="20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>
      <c r="A208" s="22" t="s">
        <v>204</v>
      </c>
      <c r="B208" s="22" t="s">
        <v>44</v>
      </c>
      <c r="C208" s="20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>
      <c r="A209" s="22" t="s">
        <v>205</v>
      </c>
      <c r="B209" s="22" t="s">
        <v>44</v>
      </c>
      <c r="C209" s="20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>
      <c r="A210" s="22" t="s">
        <v>206</v>
      </c>
      <c r="B210" s="22" t="s">
        <v>44</v>
      </c>
      <c r="C210" s="29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>
      <c r="A211" s="22" t="s">
        <v>207</v>
      </c>
      <c r="B211" s="22" t="s">
        <v>44</v>
      </c>
      <c r="C211" s="29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>
      <c r="A212" s="5"/>
      <c r="B212" s="5"/>
      <c r="C212" s="39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>
      <c r="A213" s="5"/>
      <c r="B213" s="5"/>
      <c r="C213" s="39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>
      <c r="A214" s="35" t="s">
        <v>208</v>
      </c>
      <c r="B214" s="36"/>
      <c r="C214" s="41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>
      <c r="A215" s="22" t="s">
        <v>209</v>
      </c>
      <c r="B215" s="40" t="s">
        <v>44</v>
      </c>
      <c r="C215" s="38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>
      <c r="A216" s="22" t="s">
        <v>210</v>
      </c>
      <c r="B216" s="22" t="s">
        <v>44</v>
      </c>
      <c r="C216" s="20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>
      <c r="A217" s="22" t="s">
        <v>211</v>
      </c>
      <c r="B217" s="22" t="s">
        <v>44</v>
      </c>
      <c r="C217" s="20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>
      <c r="A218" s="22" t="s">
        <v>212</v>
      </c>
      <c r="B218" s="22" t="s">
        <v>44</v>
      </c>
      <c r="C218" s="20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>
      <c r="A219" s="22" t="s">
        <v>213</v>
      </c>
      <c r="B219" s="22" t="s">
        <v>44</v>
      </c>
      <c r="C219" s="20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>
      <c r="A220" s="22" t="s">
        <v>214</v>
      </c>
      <c r="B220" s="22" t="s">
        <v>44</v>
      </c>
      <c r="C220" s="29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>
      <c r="A221" s="22" t="s">
        <v>215</v>
      </c>
      <c r="B221" s="22" t="s">
        <v>44</v>
      </c>
      <c r="C221" s="29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>
      <c r="A222" s="5"/>
      <c r="B222" s="5"/>
      <c r="C222" s="39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>
      <c r="A223" s="5"/>
      <c r="B223" s="5"/>
      <c r="C223" s="39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>
      <c r="A224" s="35" t="s">
        <v>216</v>
      </c>
      <c r="B224" s="36"/>
      <c r="C224" s="41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>
      <c r="A225" s="22" t="s">
        <v>217</v>
      </c>
      <c r="B225" s="40" t="s">
        <v>44</v>
      </c>
      <c r="C225" s="38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>
      <c r="A226" s="22" t="s">
        <v>218</v>
      </c>
      <c r="B226" s="22" t="s">
        <v>44</v>
      </c>
      <c r="C226" s="20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>
      <c r="A227" s="22" t="s">
        <v>219</v>
      </c>
      <c r="B227" s="22" t="s">
        <v>44</v>
      </c>
      <c r="C227" s="20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>
      <c r="A228" s="22" t="s">
        <v>220</v>
      </c>
      <c r="B228" s="22" t="s">
        <v>44</v>
      </c>
      <c r="C228" s="20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>
      <c r="A229" s="22" t="s">
        <v>221</v>
      </c>
      <c r="B229" s="22" t="s">
        <v>44</v>
      </c>
      <c r="C229" s="20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>
      <c r="A230" s="22" t="s">
        <v>222</v>
      </c>
      <c r="B230" s="22" t="s">
        <v>44</v>
      </c>
      <c r="C230" s="29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>
      <c r="A231" s="22" t="s">
        <v>223</v>
      </c>
      <c r="B231" s="22" t="s">
        <v>44</v>
      </c>
      <c r="C231" s="29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>
      <c r="A232" s="5"/>
      <c r="B232" s="5"/>
      <c r="C232" s="39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>
      <c r="A233" s="5"/>
      <c r="B233" s="5"/>
      <c r="C233" s="39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>
      <c r="A234" s="35" t="s">
        <v>224</v>
      </c>
      <c r="B234" s="36"/>
      <c r="C234" s="41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>
      <c r="A235" s="22" t="s">
        <v>225</v>
      </c>
      <c r="B235" s="40" t="s">
        <v>44</v>
      </c>
      <c r="C235" s="38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>
      <c r="A236" s="22" t="s">
        <v>226</v>
      </c>
      <c r="B236" s="22" t="s">
        <v>44</v>
      </c>
      <c r="C236" s="20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>
      <c r="A237" s="22" t="s">
        <v>227</v>
      </c>
      <c r="B237" s="22" t="s">
        <v>44</v>
      </c>
      <c r="C237" s="20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>
      <c r="A238" s="22" t="s">
        <v>228</v>
      </c>
      <c r="B238" s="22" t="s">
        <v>44</v>
      </c>
      <c r="C238" s="20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>
      <c r="A239" s="22" t="s">
        <v>229</v>
      </c>
      <c r="B239" s="22" t="s">
        <v>44</v>
      </c>
      <c r="C239" s="20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>
      <c r="A240" s="22" t="s">
        <v>230</v>
      </c>
      <c r="B240" s="22" t="s">
        <v>44</v>
      </c>
      <c r="C240" s="29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>
      <c r="A241" s="22" t="s">
        <v>231</v>
      </c>
      <c r="B241" s="22" t="s">
        <v>44</v>
      </c>
      <c r="C241" s="29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>
      <c r="A242" s="5"/>
      <c r="B242" s="5"/>
      <c r="C242" s="39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>
      <c r="A243" s="5"/>
      <c r="B243" s="5"/>
      <c r="C243" s="39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>
      <c r="A244" s="35" t="s">
        <v>232</v>
      </c>
      <c r="B244" s="36"/>
      <c r="C244" s="41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>
      <c r="A245" s="22" t="s">
        <v>233</v>
      </c>
      <c r="B245" s="40" t="s">
        <v>44</v>
      </c>
      <c r="C245" s="38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>
      <c r="A246" s="22" t="s">
        <v>234</v>
      </c>
      <c r="B246" s="22" t="s">
        <v>44</v>
      </c>
      <c r="C246" s="20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>
      <c r="A247" s="22" t="s">
        <v>235</v>
      </c>
      <c r="B247" s="22" t="s">
        <v>44</v>
      </c>
      <c r="C247" s="20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>
      <c r="A248" s="22" t="s">
        <v>236</v>
      </c>
      <c r="B248" s="22" t="s">
        <v>44</v>
      </c>
      <c r="C248" s="20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>
      <c r="A249" s="22" t="s">
        <v>237</v>
      </c>
      <c r="B249" s="22" t="s">
        <v>44</v>
      </c>
      <c r="C249" s="20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>
      <c r="A250" s="22" t="s">
        <v>238</v>
      </c>
      <c r="B250" s="22" t="s">
        <v>44</v>
      </c>
      <c r="C250" s="29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>
      <c r="A251" s="22" t="s">
        <v>239</v>
      </c>
      <c r="B251" s="22" t="s">
        <v>44</v>
      </c>
      <c r="C251" s="29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>
      <c r="A252" s="5"/>
      <c r="B252" s="5"/>
      <c r="C252" s="39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>
      <c r="A253" s="5"/>
      <c r="B253" s="5"/>
      <c r="C253" s="39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>
      <c r="A254" s="35" t="s">
        <v>240</v>
      </c>
      <c r="B254" s="36"/>
      <c r="C254" s="41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>
      <c r="A255" s="22" t="s">
        <v>241</v>
      </c>
      <c r="B255" s="40" t="s">
        <v>44</v>
      </c>
      <c r="C255" s="38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>
      <c r="A256" s="22" t="s">
        <v>242</v>
      </c>
      <c r="B256" s="22" t="s">
        <v>44</v>
      </c>
      <c r="C256" s="20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>
      <c r="A257" s="22" t="s">
        <v>243</v>
      </c>
      <c r="B257" s="22" t="s">
        <v>44</v>
      </c>
      <c r="C257" s="20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>
      <c r="A258" s="22" t="s">
        <v>244</v>
      </c>
      <c r="B258" s="22" t="s">
        <v>44</v>
      </c>
      <c r="C258" s="20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>
      <c r="A259" s="22" t="s">
        <v>245</v>
      </c>
      <c r="B259" s="22" t="s">
        <v>44</v>
      </c>
      <c r="C259" s="20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>
      <c r="A260" s="22" t="s">
        <v>246</v>
      </c>
      <c r="B260" s="22" t="s">
        <v>44</v>
      </c>
      <c r="C260" s="29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>
      <c r="A261" s="22" t="s">
        <v>247</v>
      </c>
      <c r="B261" s="22" t="s">
        <v>44</v>
      </c>
      <c r="C261" s="29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>
      <c r="A262" s="5"/>
      <c r="B262" s="5"/>
      <c r="C262" s="39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>
      <c r="A263" s="5"/>
      <c r="B263" s="5"/>
      <c r="C263" s="39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>
      <c r="A264" s="35" t="s">
        <v>248</v>
      </c>
      <c r="B264" s="36"/>
      <c r="C264" s="41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>
      <c r="A265" s="22" t="s">
        <v>249</v>
      </c>
      <c r="B265" s="40" t="s">
        <v>44</v>
      </c>
      <c r="C265" s="38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>
      <c r="A266" s="22" t="s">
        <v>250</v>
      </c>
      <c r="B266" s="22" t="s">
        <v>44</v>
      </c>
      <c r="C266" s="20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>
      <c r="A267" s="22" t="s">
        <v>251</v>
      </c>
      <c r="B267" s="22" t="s">
        <v>44</v>
      </c>
      <c r="C267" s="20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>
      <c r="A268" s="22" t="s">
        <v>252</v>
      </c>
      <c r="B268" s="22" t="s">
        <v>44</v>
      </c>
      <c r="C268" s="20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>
      <c r="A269" s="22" t="s">
        <v>253</v>
      </c>
      <c r="B269" s="22" t="s">
        <v>44</v>
      </c>
      <c r="C269" s="20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>
      <c r="A270" s="22" t="s">
        <v>254</v>
      </c>
      <c r="B270" s="22" t="s">
        <v>44</v>
      </c>
      <c r="C270" s="29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>
      <c r="A271" s="22" t="s">
        <v>255</v>
      </c>
      <c r="B271" s="22" t="s">
        <v>44</v>
      </c>
      <c r="C271" s="29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>
      <c r="A272" s="5"/>
      <c r="B272" s="5"/>
      <c r="C272" s="39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>
      <c r="A273" s="5"/>
      <c r="B273" s="5"/>
      <c r="C273" s="39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>
      <c r="A274" s="35" t="s">
        <v>256</v>
      </c>
      <c r="B274" s="36"/>
      <c r="C274" s="41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>
      <c r="A275" s="22" t="s">
        <v>257</v>
      </c>
      <c r="B275" s="40" t="s">
        <v>44</v>
      </c>
      <c r="C275" s="38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>
      <c r="A276" s="22" t="s">
        <v>258</v>
      </c>
      <c r="B276" s="22" t="s">
        <v>44</v>
      </c>
      <c r="C276" s="20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>
      <c r="A277" s="22" t="s">
        <v>259</v>
      </c>
      <c r="B277" s="22" t="s">
        <v>44</v>
      </c>
      <c r="C277" s="20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>
      <c r="A278" s="22" t="s">
        <v>260</v>
      </c>
      <c r="B278" s="22" t="s">
        <v>44</v>
      </c>
      <c r="C278" s="20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>
      <c r="A279" s="22" t="s">
        <v>261</v>
      </c>
      <c r="B279" s="22" t="s">
        <v>44</v>
      </c>
      <c r="C279" s="20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>
      <c r="A280" s="22" t="s">
        <v>262</v>
      </c>
      <c r="B280" s="22" t="s">
        <v>44</v>
      </c>
      <c r="C280" s="29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>
      <c r="A281" s="22" t="s">
        <v>263</v>
      </c>
      <c r="B281" s="22" t="s">
        <v>44</v>
      </c>
      <c r="C281" s="29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>
      <c r="A282" s="5"/>
      <c r="B282" s="5"/>
      <c r="C282" s="39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>
      <c r="A283" s="5"/>
      <c r="B283" s="5"/>
      <c r="C283" s="39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>
      <c r="A284" s="35" t="s">
        <v>264</v>
      </c>
      <c r="B284" s="36"/>
      <c r="C284" s="41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>
      <c r="A285" s="22" t="s">
        <v>265</v>
      </c>
      <c r="B285" s="40" t="s">
        <v>44</v>
      </c>
      <c r="C285" s="38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>
      <c r="A286" s="22" t="s">
        <v>266</v>
      </c>
      <c r="B286" s="22" t="s">
        <v>44</v>
      </c>
      <c r="C286" s="20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>
      <c r="A287" s="22" t="s">
        <v>267</v>
      </c>
      <c r="B287" s="22" t="s">
        <v>44</v>
      </c>
      <c r="C287" s="20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>
      <c r="A288" s="22" t="s">
        <v>268</v>
      </c>
      <c r="B288" s="22" t="s">
        <v>44</v>
      </c>
      <c r="C288" s="20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>
      <c r="A289" s="22" t="s">
        <v>269</v>
      </c>
      <c r="B289" s="22" t="s">
        <v>44</v>
      </c>
      <c r="C289" s="20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>
      <c r="A290" s="22" t="s">
        <v>270</v>
      </c>
      <c r="B290" s="22" t="s">
        <v>44</v>
      </c>
      <c r="C290" s="29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>
      <c r="A291" s="22" t="s">
        <v>271</v>
      </c>
      <c r="B291" s="22" t="s">
        <v>44</v>
      </c>
      <c r="C291" s="29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>
      <c r="A292" s="5"/>
      <c r="B292" s="5"/>
      <c r="C292" s="39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>
      <c r="A293" s="5"/>
      <c r="B293" s="5"/>
      <c r="C293" s="39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>
      <c r="A294" s="35" t="s">
        <v>272</v>
      </c>
      <c r="B294" s="36"/>
      <c r="C294" s="41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>
      <c r="A295" s="22" t="s">
        <v>273</v>
      </c>
      <c r="B295" s="40" t="s">
        <v>44</v>
      </c>
      <c r="C295" s="38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>
      <c r="A296" s="22" t="s">
        <v>274</v>
      </c>
      <c r="B296" s="22" t="s">
        <v>44</v>
      </c>
      <c r="C296" s="20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>
      <c r="A297" s="22" t="s">
        <v>275</v>
      </c>
      <c r="B297" s="22" t="s">
        <v>44</v>
      </c>
      <c r="C297" s="20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>
      <c r="A298" s="22" t="s">
        <v>276</v>
      </c>
      <c r="B298" s="22" t="s">
        <v>44</v>
      </c>
      <c r="C298" s="20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>
      <c r="A299" s="22" t="s">
        <v>277</v>
      </c>
      <c r="B299" s="22" t="s">
        <v>44</v>
      </c>
      <c r="C299" s="20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>
      <c r="A300" s="22" t="s">
        <v>278</v>
      </c>
      <c r="B300" s="22" t="s">
        <v>44</v>
      </c>
      <c r="C300" s="29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>
      <c r="A301" s="22" t="s">
        <v>279</v>
      </c>
      <c r="B301" s="22" t="s">
        <v>44</v>
      </c>
      <c r="C301" s="29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>
      <c r="A302" s="5"/>
      <c r="B302" s="5"/>
      <c r="C302" s="39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>
      <c r="A303" s="5"/>
      <c r="B303" s="5"/>
      <c r="C303" s="39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>
      <c r="A304" s="35" t="s">
        <v>280</v>
      </c>
      <c r="B304" s="36"/>
      <c r="C304" s="41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>
      <c r="A305" s="22" t="s">
        <v>281</v>
      </c>
      <c r="B305" s="40" t="s">
        <v>44</v>
      </c>
      <c r="C305" s="38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>
      <c r="A306" s="22" t="s">
        <v>282</v>
      </c>
      <c r="B306" s="22" t="s">
        <v>44</v>
      </c>
      <c r="C306" s="20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>
      <c r="A307" s="22" t="s">
        <v>283</v>
      </c>
      <c r="B307" s="22" t="s">
        <v>44</v>
      </c>
      <c r="C307" s="20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>
      <c r="A308" s="22" t="s">
        <v>284</v>
      </c>
      <c r="B308" s="22" t="s">
        <v>44</v>
      </c>
      <c r="C308" s="20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>
      <c r="A309" s="22" t="s">
        <v>285</v>
      </c>
      <c r="B309" s="22" t="s">
        <v>44</v>
      </c>
      <c r="C309" s="20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>
      <c r="A310" s="22" t="s">
        <v>286</v>
      </c>
      <c r="B310" s="22" t="s">
        <v>44</v>
      </c>
      <c r="C310" s="29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>
      <c r="A311" s="22" t="s">
        <v>287</v>
      </c>
      <c r="B311" s="22" t="s">
        <v>44</v>
      </c>
      <c r="C311" s="29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>
      <c r="A312" s="5"/>
      <c r="B312" s="5"/>
      <c r="C312" s="39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>
      <c r="A313" s="5"/>
      <c r="B313" s="5"/>
      <c r="C313" s="39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>
      <c r="A314" s="35" t="s">
        <v>288</v>
      </c>
      <c r="B314" s="36"/>
      <c r="C314" s="41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>
      <c r="A315" s="22" t="s">
        <v>289</v>
      </c>
      <c r="B315" s="40" t="s">
        <v>44</v>
      </c>
      <c r="C315" s="38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>
      <c r="A316" s="22" t="s">
        <v>290</v>
      </c>
      <c r="B316" s="22" t="s">
        <v>44</v>
      </c>
      <c r="C316" s="20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>
      <c r="A317" s="22" t="s">
        <v>291</v>
      </c>
      <c r="B317" s="22" t="s">
        <v>44</v>
      </c>
      <c r="C317" s="20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>
      <c r="A318" s="22" t="s">
        <v>292</v>
      </c>
      <c r="B318" s="22" t="s">
        <v>44</v>
      </c>
      <c r="C318" s="20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>
      <c r="A319" s="22" t="s">
        <v>293</v>
      </c>
      <c r="B319" s="22" t="s">
        <v>44</v>
      </c>
      <c r="C319" s="20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>
      <c r="A320" s="22" t="s">
        <v>294</v>
      </c>
      <c r="B320" s="22" t="s">
        <v>44</v>
      </c>
      <c r="C320" s="29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>
      <c r="A321" s="22" t="s">
        <v>295</v>
      </c>
      <c r="B321" s="22" t="s">
        <v>44</v>
      </c>
      <c r="C321" s="29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>
      <c r="A322" s="5"/>
      <c r="B322" s="5"/>
      <c r="C322" s="39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>
      <c r="A323" s="5"/>
      <c r="B323" s="5"/>
      <c r="C323" s="39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>
      <c r="A324" s="35" t="s">
        <v>296</v>
      </c>
      <c r="B324" s="36"/>
      <c r="C324" s="41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>
      <c r="A325" s="22" t="s">
        <v>297</v>
      </c>
      <c r="B325" s="40" t="s">
        <v>44</v>
      </c>
      <c r="C325" s="38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>
      <c r="A326" s="22" t="s">
        <v>298</v>
      </c>
      <c r="B326" s="22" t="s">
        <v>44</v>
      </c>
      <c r="C326" s="20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>
      <c r="A327" s="22" t="s">
        <v>299</v>
      </c>
      <c r="B327" s="22" t="s">
        <v>44</v>
      </c>
      <c r="C327" s="20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>
      <c r="A328" s="22" t="s">
        <v>300</v>
      </c>
      <c r="B328" s="22" t="s">
        <v>44</v>
      </c>
      <c r="C328" s="20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>
      <c r="A329" s="22" t="s">
        <v>301</v>
      </c>
      <c r="B329" s="22" t="s">
        <v>44</v>
      </c>
      <c r="C329" s="20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>
      <c r="A330" s="22" t="s">
        <v>302</v>
      </c>
      <c r="B330" s="22" t="s">
        <v>44</v>
      </c>
      <c r="C330" s="29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>
      <c r="A331" s="22" t="s">
        <v>303</v>
      </c>
      <c r="B331" s="22" t="s">
        <v>44</v>
      </c>
      <c r="C331" s="29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>
      <c r="A332" s="5"/>
      <c r="B332" s="5"/>
      <c r="C332" s="39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>
      <c r="A333" s="5"/>
      <c r="B333" s="5"/>
      <c r="C333" s="39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>
      <c r="A334" s="35" t="s">
        <v>304</v>
      </c>
      <c r="B334" s="36"/>
      <c r="C334" s="41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>
      <c r="A335" s="22" t="s">
        <v>305</v>
      </c>
      <c r="B335" s="40" t="s">
        <v>44</v>
      </c>
      <c r="C335" s="38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>
      <c r="A336" s="22" t="s">
        <v>306</v>
      </c>
      <c r="B336" s="22" t="s">
        <v>44</v>
      </c>
      <c r="C336" s="20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>
      <c r="A337" s="22" t="s">
        <v>307</v>
      </c>
      <c r="B337" s="22" t="s">
        <v>44</v>
      </c>
      <c r="C337" s="20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>
      <c r="A338" s="22" t="s">
        <v>308</v>
      </c>
      <c r="B338" s="22" t="s">
        <v>44</v>
      </c>
      <c r="C338" s="20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>
      <c r="A339" s="22" t="s">
        <v>309</v>
      </c>
      <c r="B339" s="22" t="s">
        <v>44</v>
      </c>
      <c r="C339" s="20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>
      <c r="A340" s="22" t="s">
        <v>310</v>
      </c>
      <c r="B340" s="22" t="s">
        <v>44</v>
      </c>
      <c r="C340" s="29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>
      <c r="A341" s="22" t="s">
        <v>311</v>
      </c>
      <c r="B341" s="22" t="s">
        <v>44</v>
      </c>
      <c r="C341" s="29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>
      <c r="A342" s="5"/>
      <c r="B342" s="5"/>
      <c r="C342" s="39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>
      <c r="A343" s="5"/>
      <c r="B343" s="5"/>
      <c r="C343" s="39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>
      <c r="A344" s="35" t="s">
        <v>312</v>
      </c>
      <c r="B344" s="36"/>
      <c r="C344" s="41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>
      <c r="A345" s="22" t="s">
        <v>313</v>
      </c>
      <c r="B345" s="40" t="s">
        <v>44</v>
      </c>
      <c r="C345" s="38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>
      <c r="A346" s="22" t="s">
        <v>314</v>
      </c>
      <c r="B346" s="22" t="s">
        <v>44</v>
      </c>
      <c r="C346" s="20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>
      <c r="A347" s="22" t="s">
        <v>315</v>
      </c>
      <c r="B347" s="22" t="s">
        <v>44</v>
      </c>
      <c r="C347" s="20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>
      <c r="A348" s="22" t="s">
        <v>316</v>
      </c>
      <c r="B348" s="22" t="s">
        <v>44</v>
      </c>
      <c r="C348" s="20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>
      <c r="A349" s="22" t="s">
        <v>317</v>
      </c>
      <c r="B349" s="22" t="s">
        <v>44</v>
      </c>
      <c r="C349" s="20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>
      <c r="A350" s="22" t="s">
        <v>318</v>
      </c>
      <c r="B350" s="22" t="s">
        <v>44</v>
      </c>
      <c r="C350" s="29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>
      <c r="A351" s="22" t="s">
        <v>319</v>
      </c>
      <c r="B351" s="22" t="s">
        <v>44</v>
      </c>
      <c r="C351" s="29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>
      <c r="A352" s="5"/>
      <c r="B352" s="5"/>
      <c r="C352" s="39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>
      <c r="A353" s="5"/>
      <c r="B353" s="5"/>
      <c r="C353" s="39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>
      <c r="A354" s="35" t="s">
        <v>320</v>
      </c>
      <c r="B354" s="36"/>
      <c r="C354" s="41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>
      <c r="A355" s="22" t="s">
        <v>321</v>
      </c>
      <c r="B355" s="40" t="s">
        <v>44</v>
      </c>
      <c r="C355" s="38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>
      <c r="A356" s="22" t="s">
        <v>322</v>
      </c>
      <c r="B356" s="22" t="s">
        <v>44</v>
      </c>
      <c r="C356" s="20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>
      <c r="A357" s="22" t="s">
        <v>323</v>
      </c>
      <c r="B357" s="22" t="s">
        <v>44</v>
      </c>
      <c r="C357" s="20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>
      <c r="A358" s="22" t="s">
        <v>324</v>
      </c>
      <c r="B358" s="22" t="s">
        <v>44</v>
      </c>
      <c r="C358" s="20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>
      <c r="A359" s="22" t="s">
        <v>325</v>
      </c>
      <c r="B359" s="22" t="s">
        <v>44</v>
      </c>
      <c r="C359" s="20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>
      <c r="A360" s="22" t="s">
        <v>326</v>
      </c>
      <c r="B360" s="22" t="s">
        <v>44</v>
      </c>
      <c r="C360" s="29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>
      <c r="A361" s="22" t="s">
        <v>327</v>
      </c>
      <c r="B361" s="22" t="s">
        <v>44</v>
      </c>
      <c r="C361" s="29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>
      <c r="A362" s="5"/>
      <c r="B362" s="5"/>
      <c r="C362" s="39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>
      <c r="A363" s="5"/>
      <c r="B363" s="5"/>
      <c r="C363" s="39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>
      <c r="A364" s="35" t="s">
        <v>328</v>
      </c>
      <c r="B364" s="36"/>
      <c r="C364" s="41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>
      <c r="A365" s="22" t="s">
        <v>329</v>
      </c>
      <c r="B365" s="40" t="s">
        <v>44</v>
      </c>
      <c r="C365" s="38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>
      <c r="A366" s="22" t="s">
        <v>330</v>
      </c>
      <c r="B366" s="22" t="s">
        <v>44</v>
      </c>
      <c r="C366" s="20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>
      <c r="A367" s="22" t="s">
        <v>331</v>
      </c>
      <c r="B367" s="22" t="s">
        <v>44</v>
      </c>
      <c r="C367" s="20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>
      <c r="A368" s="22" t="s">
        <v>332</v>
      </c>
      <c r="B368" s="22" t="s">
        <v>44</v>
      </c>
      <c r="C368" s="20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>
      <c r="A369" s="22" t="s">
        <v>333</v>
      </c>
      <c r="B369" s="22" t="s">
        <v>44</v>
      </c>
      <c r="C369" s="20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>
      <c r="A370" s="22" t="s">
        <v>334</v>
      </c>
      <c r="B370" s="22" t="s">
        <v>44</v>
      </c>
      <c r="C370" s="29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>
      <c r="A371" s="22" t="s">
        <v>335</v>
      </c>
      <c r="B371" s="22" t="s">
        <v>44</v>
      </c>
      <c r="C371" s="29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>
      <c r="A372" s="5"/>
      <c r="B372" s="5"/>
      <c r="C372" s="39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>
      <c r="A373" s="5"/>
      <c r="B373" s="5"/>
      <c r="C373" s="39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>
      <c r="A374" s="35" t="s">
        <v>336</v>
      </c>
      <c r="B374" s="36"/>
      <c r="C374" s="41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>
      <c r="A375" s="22" t="s">
        <v>337</v>
      </c>
      <c r="B375" s="40" t="s">
        <v>44</v>
      </c>
      <c r="C375" s="38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>
      <c r="A376" s="22" t="s">
        <v>338</v>
      </c>
      <c r="B376" s="22" t="s">
        <v>44</v>
      </c>
      <c r="C376" s="20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>
      <c r="A377" s="22" t="s">
        <v>339</v>
      </c>
      <c r="B377" s="22" t="s">
        <v>44</v>
      </c>
      <c r="C377" s="20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>
      <c r="A378" s="22" t="s">
        <v>340</v>
      </c>
      <c r="B378" s="22" t="s">
        <v>44</v>
      </c>
      <c r="C378" s="20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>
      <c r="A379" s="22" t="s">
        <v>341</v>
      </c>
      <c r="B379" s="22" t="s">
        <v>44</v>
      </c>
      <c r="C379" s="20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>
      <c r="A380" s="22" t="s">
        <v>342</v>
      </c>
      <c r="B380" s="22" t="s">
        <v>44</v>
      </c>
      <c r="C380" s="29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>
      <c r="A381" s="22" t="s">
        <v>343</v>
      </c>
      <c r="B381" s="22" t="s">
        <v>44</v>
      </c>
      <c r="C381" s="29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>
      <c r="A382" s="5"/>
      <c r="B382" s="5"/>
      <c r="C382" s="39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>
      <c r="A383" s="5"/>
      <c r="B383" s="5"/>
      <c r="C383" s="39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>
      <c r="A384" s="35" t="s">
        <v>344</v>
      </c>
      <c r="B384" s="36"/>
      <c r="C384" s="41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>
      <c r="A385" s="22" t="s">
        <v>345</v>
      </c>
      <c r="B385" s="40" t="s">
        <v>44</v>
      </c>
      <c r="C385" s="38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>
      <c r="A386" s="22" t="s">
        <v>346</v>
      </c>
      <c r="B386" s="22" t="s">
        <v>44</v>
      </c>
      <c r="C386" s="20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>
      <c r="A387" s="22" t="s">
        <v>347</v>
      </c>
      <c r="B387" s="22" t="s">
        <v>44</v>
      </c>
      <c r="C387" s="20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>
      <c r="A388" s="22" t="s">
        <v>348</v>
      </c>
      <c r="B388" s="22" t="s">
        <v>44</v>
      </c>
      <c r="C388" s="20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>
      <c r="A389" s="22" t="s">
        <v>349</v>
      </c>
      <c r="B389" s="22" t="s">
        <v>44</v>
      </c>
      <c r="C389" s="20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>
      <c r="A390" s="22" t="s">
        <v>350</v>
      </c>
      <c r="B390" s="22" t="s">
        <v>44</v>
      </c>
      <c r="C390" s="29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>
      <c r="A391" s="22" t="s">
        <v>351</v>
      </c>
      <c r="B391" s="22" t="s">
        <v>44</v>
      </c>
      <c r="C391" s="29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>
      <c r="A392" s="5"/>
      <c r="B392" s="5"/>
      <c r="C392" s="39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>
      <c r="A393" s="5"/>
      <c r="B393" s="5"/>
      <c r="C393" s="39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>
      <c r="A394" s="35" t="s">
        <v>352</v>
      </c>
      <c r="B394" s="36"/>
      <c r="C394" s="41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>
      <c r="A395" s="22" t="s">
        <v>353</v>
      </c>
      <c r="B395" s="40" t="s">
        <v>44</v>
      </c>
      <c r="C395" s="38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>
      <c r="A396" s="22" t="s">
        <v>354</v>
      </c>
      <c r="B396" s="22" t="s">
        <v>44</v>
      </c>
      <c r="C396" s="20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>
      <c r="A397" s="22" t="s">
        <v>355</v>
      </c>
      <c r="B397" s="22" t="s">
        <v>44</v>
      </c>
      <c r="C397" s="20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>
      <c r="A398" s="22" t="s">
        <v>356</v>
      </c>
      <c r="B398" s="22" t="s">
        <v>44</v>
      </c>
      <c r="C398" s="20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>
      <c r="A399" s="22" t="s">
        <v>357</v>
      </c>
      <c r="B399" s="22" t="s">
        <v>44</v>
      </c>
      <c r="C399" s="20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>
      <c r="A400" s="22" t="s">
        <v>358</v>
      </c>
      <c r="B400" s="22" t="s">
        <v>44</v>
      </c>
      <c r="C400" s="29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>
      <c r="A401" s="22" t="s">
        <v>359</v>
      </c>
      <c r="B401" s="22" t="s">
        <v>44</v>
      </c>
      <c r="C401" s="29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>
      <c r="A402" s="5"/>
      <c r="B402" s="5"/>
      <c r="C402" s="39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>
      <c r="A403" s="5"/>
      <c r="B403" s="5"/>
      <c r="C403" s="39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>
      <c r="A404" s="35" t="s">
        <v>360</v>
      </c>
      <c r="B404" s="36"/>
      <c r="C404" s="41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>
      <c r="A405" s="22" t="s">
        <v>361</v>
      </c>
      <c r="B405" s="40" t="s">
        <v>44</v>
      </c>
      <c r="C405" s="38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>
      <c r="A406" s="22" t="s">
        <v>362</v>
      </c>
      <c r="B406" s="22" t="s">
        <v>44</v>
      </c>
      <c r="C406" s="20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>
      <c r="A407" s="22" t="s">
        <v>363</v>
      </c>
      <c r="B407" s="22" t="s">
        <v>44</v>
      </c>
      <c r="C407" s="20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>
      <c r="A408" s="22" t="s">
        <v>364</v>
      </c>
      <c r="B408" s="22" t="s">
        <v>44</v>
      </c>
      <c r="C408" s="20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>
      <c r="A409" s="22" t="s">
        <v>365</v>
      </c>
      <c r="B409" s="22" t="s">
        <v>44</v>
      </c>
      <c r="C409" s="20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>
      <c r="A410" s="22" t="s">
        <v>366</v>
      </c>
      <c r="B410" s="22" t="s">
        <v>44</v>
      </c>
      <c r="C410" s="29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>
      <c r="A411" s="22" t="s">
        <v>367</v>
      </c>
      <c r="B411" s="22" t="s">
        <v>44</v>
      </c>
      <c r="C411" s="29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>
      <c r="A412" s="5"/>
      <c r="B412" s="5"/>
      <c r="C412" s="39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>
      <c r="A413" s="5"/>
      <c r="B413" s="5"/>
      <c r="C413" s="39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>
      <c r="A414" s="35" t="s">
        <v>368</v>
      </c>
      <c r="B414" s="36"/>
      <c r="C414" s="41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>
      <c r="A415" s="22" t="s">
        <v>369</v>
      </c>
      <c r="B415" s="40" t="s">
        <v>44</v>
      </c>
      <c r="C415" s="38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>
      <c r="A416" s="22" t="s">
        <v>370</v>
      </c>
      <c r="B416" s="22" t="s">
        <v>44</v>
      </c>
      <c r="C416" s="20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>
      <c r="A417" s="22" t="s">
        <v>371</v>
      </c>
      <c r="B417" s="22" t="s">
        <v>44</v>
      </c>
      <c r="C417" s="20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>
      <c r="A418" s="22" t="s">
        <v>372</v>
      </c>
      <c r="B418" s="22" t="s">
        <v>44</v>
      </c>
      <c r="C418" s="20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>
      <c r="A419" s="22" t="s">
        <v>373</v>
      </c>
      <c r="B419" s="22" t="s">
        <v>44</v>
      </c>
      <c r="C419" s="20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>
      <c r="A420" s="22" t="s">
        <v>374</v>
      </c>
      <c r="B420" s="22" t="s">
        <v>44</v>
      </c>
      <c r="C420" s="29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>
      <c r="A421" s="22" t="s">
        <v>375</v>
      </c>
      <c r="B421" s="22" t="s">
        <v>44</v>
      </c>
      <c r="C421" s="29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>
      <c r="A422" s="5"/>
      <c r="B422" s="5"/>
      <c r="C422" s="39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>
      <c r="A423" s="5"/>
      <c r="B423" s="5"/>
      <c r="C423" s="39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>
      <c r="A424" s="35" t="s">
        <v>376</v>
      </c>
      <c r="B424" s="36"/>
      <c r="C424" s="41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>
      <c r="A425" s="22" t="s">
        <v>377</v>
      </c>
      <c r="B425" s="40" t="s">
        <v>44</v>
      </c>
      <c r="C425" s="38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>
      <c r="A426" s="22" t="s">
        <v>378</v>
      </c>
      <c r="B426" s="22" t="s">
        <v>44</v>
      </c>
      <c r="C426" s="20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>
      <c r="A427" s="22" t="s">
        <v>379</v>
      </c>
      <c r="B427" s="22" t="s">
        <v>44</v>
      </c>
      <c r="C427" s="20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>
      <c r="A428" s="22" t="s">
        <v>380</v>
      </c>
      <c r="B428" s="22" t="s">
        <v>44</v>
      </c>
      <c r="C428" s="20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>
      <c r="A429" s="22" t="s">
        <v>381</v>
      </c>
      <c r="B429" s="22" t="s">
        <v>44</v>
      </c>
      <c r="C429" s="20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>
      <c r="A430" s="22" t="s">
        <v>382</v>
      </c>
      <c r="B430" s="22" t="s">
        <v>44</v>
      </c>
      <c r="C430" s="29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>
      <c r="A431" s="22" t="s">
        <v>383</v>
      </c>
      <c r="B431" s="22" t="s">
        <v>44</v>
      </c>
      <c r="C431" s="29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>
      <c r="A432" s="5"/>
      <c r="B432" s="5"/>
      <c r="C432" s="39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>
      <c r="A433" s="5"/>
      <c r="B433" s="5"/>
      <c r="C433" s="39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>
      <c r="A434" s="35" t="s">
        <v>384</v>
      </c>
      <c r="B434" s="36"/>
      <c r="C434" s="41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>
      <c r="A435" s="22" t="s">
        <v>385</v>
      </c>
      <c r="B435" s="40" t="s">
        <v>44</v>
      </c>
      <c r="C435" s="38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>
      <c r="A436" s="22" t="s">
        <v>386</v>
      </c>
      <c r="B436" s="22" t="s">
        <v>44</v>
      </c>
      <c r="C436" s="20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>
      <c r="A437" s="22" t="s">
        <v>387</v>
      </c>
      <c r="B437" s="22" t="s">
        <v>44</v>
      </c>
      <c r="C437" s="20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>
      <c r="A438" s="22" t="s">
        <v>388</v>
      </c>
      <c r="B438" s="22" t="s">
        <v>44</v>
      </c>
      <c r="C438" s="20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>
      <c r="A439" s="22" t="s">
        <v>389</v>
      </c>
      <c r="B439" s="22" t="s">
        <v>44</v>
      </c>
      <c r="C439" s="20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>
      <c r="A440" s="22" t="s">
        <v>390</v>
      </c>
      <c r="B440" s="22" t="s">
        <v>44</v>
      </c>
      <c r="C440" s="29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>
      <c r="A441" s="22" t="s">
        <v>391</v>
      </c>
      <c r="B441" s="22" t="s">
        <v>44</v>
      </c>
      <c r="C441" s="29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>
      <c r="A442" s="5"/>
      <c r="B442" s="5"/>
      <c r="C442" s="39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>
      <c r="A443" s="5"/>
      <c r="B443" s="5"/>
      <c r="C443" s="39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>
      <c r="A444" s="35" t="s">
        <v>392</v>
      </c>
      <c r="B444" s="36"/>
      <c r="C444" s="41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>
      <c r="A445" s="22" t="s">
        <v>393</v>
      </c>
      <c r="B445" s="40" t="s">
        <v>44</v>
      </c>
      <c r="C445" s="38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>
      <c r="A446" s="22" t="s">
        <v>394</v>
      </c>
      <c r="B446" s="22" t="s">
        <v>44</v>
      </c>
      <c r="C446" s="20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>
      <c r="A447" s="22" t="s">
        <v>395</v>
      </c>
      <c r="B447" s="22" t="s">
        <v>44</v>
      </c>
      <c r="C447" s="20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>
      <c r="A448" s="22" t="s">
        <v>396</v>
      </c>
      <c r="B448" s="22" t="s">
        <v>44</v>
      </c>
      <c r="C448" s="20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>
      <c r="A449" s="22" t="s">
        <v>397</v>
      </c>
      <c r="B449" s="22" t="s">
        <v>44</v>
      </c>
      <c r="C449" s="20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>
      <c r="A450" s="22" t="s">
        <v>398</v>
      </c>
      <c r="B450" s="22" t="s">
        <v>44</v>
      </c>
      <c r="C450" s="29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>
      <c r="A451" s="22" t="s">
        <v>399</v>
      </c>
      <c r="B451" s="22" t="s">
        <v>44</v>
      </c>
      <c r="C451" s="29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>
      <c r="A452" s="5"/>
      <c r="B452" s="5"/>
      <c r="C452" s="39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>
      <c r="A453" s="5"/>
      <c r="B453" s="5"/>
      <c r="C453" s="39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>
      <c r="A454" s="35" t="s">
        <v>400</v>
      </c>
      <c r="B454" s="36"/>
      <c r="C454" s="41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>
      <c r="A455" s="22" t="s">
        <v>401</v>
      </c>
      <c r="B455" s="40" t="s">
        <v>44</v>
      </c>
      <c r="C455" s="38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>
      <c r="A456" s="22" t="s">
        <v>402</v>
      </c>
      <c r="B456" s="22" t="s">
        <v>44</v>
      </c>
      <c r="C456" s="20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>
      <c r="A457" s="22" t="s">
        <v>403</v>
      </c>
      <c r="B457" s="22" t="s">
        <v>44</v>
      </c>
      <c r="C457" s="20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>
      <c r="A458" s="22" t="s">
        <v>404</v>
      </c>
      <c r="B458" s="22" t="s">
        <v>44</v>
      </c>
      <c r="C458" s="20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>
      <c r="A459" s="22" t="s">
        <v>405</v>
      </c>
      <c r="B459" s="22" t="s">
        <v>44</v>
      </c>
      <c r="C459" s="20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>
      <c r="A460" s="22" t="s">
        <v>406</v>
      </c>
      <c r="B460" s="22" t="s">
        <v>44</v>
      </c>
      <c r="C460" s="29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>
      <c r="A461" s="22" t="s">
        <v>407</v>
      </c>
      <c r="B461" s="22" t="s">
        <v>44</v>
      </c>
      <c r="C461" s="29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>
      <c r="A462" s="5"/>
      <c r="B462" s="5"/>
      <c r="C462" s="39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>
      <c r="A463" s="5"/>
      <c r="B463" s="5"/>
      <c r="C463" s="39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>
      <c r="A464" s="35" t="s">
        <v>408</v>
      </c>
      <c r="B464" s="36"/>
      <c r="C464" s="41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>
      <c r="A465" s="22" t="s">
        <v>409</v>
      </c>
      <c r="B465" s="40" t="s">
        <v>44</v>
      </c>
      <c r="C465" s="38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>
      <c r="A466" s="22" t="s">
        <v>410</v>
      </c>
      <c r="B466" s="22" t="s">
        <v>44</v>
      </c>
      <c r="C466" s="20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>
      <c r="A467" s="22" t="s">
        <v>411</v>
      </c>
      <c r="B467" s="22" t="s">
        <v>44</v>
      </c>
      <c r="C467" s="20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>
      <c r="A468" s="22" t="s">
        <v>412</v>
      </c>
      <c r="B468" s="22" t="s">
        <v>44</v>
      </c>
      <c r="C468" s="20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>
      <c r="A469" s="22" t="s">
        <v>413</v>
      </c>
      <c r="B469" s="22" t="s">
        <v>44</v>
      </c>
      <c r="C469" s="20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>
      <c r="A470" s="22" t="s">
        <v>414</v>
      </c>
      <c r="B470" s="22" t="s">
        <v>44</v>
      </c>
      <c r="C470" s="29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>
      <c r="A471" s="22" t="s">
        <v>415</v>
      </c>
      <c r="B471" s="22" t="s">
        <v>44</v>
      </c>
      <c r="C471" s="29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>
      <c r="A472" s="5"/>
      <c r="B472" s="5"/>
      <c r="C472" s="39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>
      <c r="A473" s="5"/>
      <c r="B473" s="5"/>
      <c r="C473" s="39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>
      <c r="A474" s="35" t="s">
        <v>416</v>
      </c>
      <c r="B474" s="36"/>
      <c r="C474" s="41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>
      <c r="A475" s="22" t="s">
        <v>417</v>
      </c>
      <c r="B475" s="40" t="s">
        <v>44</v>
      </c>
      <c r="C475" s="38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>
      <c r="A476" s="22" t="s">
        <v>418</v>
      </c>
      <c r="B476" s="22" t="s">
        <v>44</v>
      </c>
      <c r="C476" s="20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>
      <c r="A477" s="22" t="s">
        <v>419</v>
      </c>
      <c r="B477" s="22" t="s">
        <v>44</v>
      </c>
      <c r="C477" s="20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>
      <c r="A478" s="22" t="s">
        <v>420</v>
      </c>
      <c r="B478" s="22" t="s">
        <v>44</v>
      </c>
      <c r="C478" s="20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>
      <c r="A479" s="22" t="s">
        <v>421</v>
      </c>
      <c r="B479" s="22" t="s">
        <v>44</v>
      </c>
      <c r="C479" s="20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>
      <c r="A480" s="22" t="s">
        <v>422</v>
      </c>
      <c r="B480" s="22" t="s">
        <v>44</v>
      </c>
      <c r="C480" s="29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>
      <c r="A481" s="22" t="s">
        <v>423</v>
      </c>
      <c r="B481" s="22" t="s">
        <v>44</v>
      </c>
      <c r="C481" s="29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>
      <c r="A482" s="5"/>
      <c r="B482" s="5"/>
      <c r="C482" s="39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>
      <c r="A483" s="5"/>
      <c r="B483" s="5"/>
      <c r="C483" s="39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>
      <c r="A484" s="35" t="s">
        <v>424</v>
      </c>
      <c r="B484" s="36"/>
      <c r="C484" s="41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>
      <c r="A485" s="22" t="s">
        <v>425</v>
      </c>
      <c r="B485" s="40" t="s">
        <v>44</v>
      </c>
      <c r="C485" s="38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>
      <c r="A486" s="22" t="s">
        <v>426</v>
      </c>
      <c r="B486" s="22" t="s">
        <v>44</v>
      </c>
      <c r="C486" s="20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>
      <c r="A487" s="22" t="s">
        <v>427</v>
      </c>
      <c r="B487" s="22" t="s">
        <v>44</v>
      </c>
      <c r="C487" s="20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>
      <c r="A488" s="22" t="s">
        <v>428</v>
      </c>
      <c r="B488" s="22" t="s">
        <v>44</v>
      </c>
      <c r="C488" s="20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>
      <c r="A489" s="22" t="s">
        <v>429</v>
      </c>
      <c r="B489" s="22" t="s">
        <v>44</v>
      </c>
      <c r="C489" s="20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>
      <c r="A490" s="22" t="s">
        <v>430</v>
      </c>
      <c r="B490" s="22" t="s">
        <v>44</v>
      </c>
      <c r="C490" s="29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>
      <c r="A491" s="22" t="s">
        <v>431</v>
      </c>
      <c r="B491" s="22" t="s">
        <v>44</v>
      </c>
      <c r="C491" s="29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>
      <c r="A492" s="5"/>
      <c r="B492" s="5"/>
      <c r="C492" s="39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>
      <c r="A493" s="5"/>
      <c r="B493" s="5"/>
      <c r="C493" s="39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>
      <c r="A494" s="35" t="s">
        <v>432</v>
      </c>
      <c r="B494" s="36"/>
      <c r="C494" s="41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>
      <c r="A495" s="22" t="s">
        <v>433</v>
      </c>
      <c r="B495" s="40" t="s">
        <v>44</v>
      </c>
      <c r="C495" s="38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>
      <c r="A496" s="22" t="s">
        <v>434</v>
      </c>
      <c r="B496" s="22" t="s">
        <v>44</v>
      </c>
      <c r="C496" s="20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>
      <c r="A497" s="22" t="s">
        <v>435</v>
      </c>
      <c r="B497" s="22" t="s">
        <v>44</v>
      </c>
      <c r="C497" s="20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>
      <c r="A498" s="22" t="s">
        <v>436</v>
      </c>
      <c r="B498" s="22" t="s">
        <v>44</v>
      </c>
      <c r="C498" s="20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>
      <c r="A499" s="22" t="s">
        <v>437</v>
      </c>
      <c r="B499" s="22" t="s">
        <v>44</v>
      </c>
      <c r="C499" s="20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>
      <c r="A500" s="22" t="s">
        <v>438</v>
      </c>
      <c r="B500" s="22" t="s">
        <v>44</v>
      </c>
      <c r="C500" s="29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>
      <c r="A501" s="22" t="s">
        <v>439</v>
      </c>
      <c r="B501" s="22" t="s">
        <v>44</v>
      </c>
      <c r="C501" s="29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>
      <c r="A502" s="5"/>
      <c r="B502" s="5"/>
      <c r="C502" s="39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>
      <c r="A503" s="5"/>
      <c r="B503" s="5"/>
      <c r="C503" s="39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>
      <c r="A504" s="35" t="s">
        <v>440</v>
      </c>
      <c r="B504" s="36"/>
      <c r="C504" s="41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>
      <c r="A505" s="22" t="s">
        <v>441</v>
      </c>
      <c r="B505" s="40" t="s">
        <v>44</v>
      </c>
      <c r="C505" s="38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>
      <c r="A506" s="22" t="s">
        <v>442</v>
      </c>
      <c r="B506" s="22" t="s">
        <v>44</v>
      </c>
      <c r="C506" s="20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>
      <c r="A507" s="22" t="s">
        <v>443</v>
      </c>
      <c r="B507" s="22" t="s">
        <v>44</v>
      </c>
      <c r="C507" s="20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>
      <c r="A508" s="22" t="s">
        <v>444</v>
      </c>
      <c r="B508" s="22" t="s">
        <v>44</v>
      </c>
      <c r="C508" s="20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>
      <c r="A509" s="22" t="s">
        <v>445</v>
      </c>
      <c r="B509" s="22" t="s">
        <v>44</v>
      </c>
      <c r="C509" s="20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>
      <c r="A510" s="22" t="s">
        <v>446</v>
      </c>
      <c r="B510" s="22" t="s">
        <v>44</v>
      </c>
      <c r="C510" s="29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>
      <c r="A511" s="22" t="s">
        <v>447</v>
      </c>
      <c r="B511" s="22" t="s">
        <v>44</v>
      </c>
      <c r="C511" s="29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>
      <c r="A512" s="5"/>
      <c r="B512" s="5"/>
      <c r="C512" s="39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>
      <c r="A513" s="5"/>
      <c r="B513" s="5"/>
      <c r="C513" s="39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>
      <c r="A514" s="35" t="s">
        <v>448</v>
      </c>
      <c r="B514" s="36"/>
      <c r="C514" s="41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>
      <c r="A515" s="22" t="s">
        <v>449</v>
      </c>
      <c r="B515" s="40" t="s">
        <v>44</v>
      </c>
      <c r="C515" s="38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>
      <c r="A516" s="22" t="s">
        <v>450</v>
      </c>
      <c r="B516" s="22" t="s">
        <v>44</v>
      </c>
      <c r="C516" s="20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>
      <c r="A517" s="22" t="s">
        <v>451</v>
      </c>
      <c r="B517" s="22" t="s">
        <v>44</v>
      </c>
      <c r="C517" s="20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>
      <c r="A518" s="22" t="s">
        <v>452</v>
      </c>
      <c r="B518" s="22" t="s">
        <v>44</v>
      </c>
      <c r="C518" s="20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>
      <c r="A519" s="22" t="s">
        <v>453</v>
      </c>
      <c r="B519" s="22" t="s">
        <v>44</v>
      </c>
      <c r="C519" s="20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>
      <c r="A520" s="22" t="s">
        <v>454</v>
      </c>
      <c r="B520" s="22" t="s">
        <v>44</v>
      </c>
      <c r="C520" s="29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>
      <c r="A521" s="22" t="s">
        <v>455</v>
      </c>
      <c r="B521" s="22" t="s">
        <v>44</v>
      </c>
      <c r="C521" s="29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</sheetData>
  <mergeCells count="3">
    <mergeCell ref="A1:A2"/>
    <mergeCell ref="B1:B2"/>
    <mergeCell ref="C1:C2"/>
  </mergeCells>
  <dataValidations>
    <dataValidation type="list" allowBlank="1" sqref="B5:B11 B15:B21 B25:B31 B35:B41 B45:B51 B55:B61 B65:B71 B75:B81 B85:B91 B95:B101 B105:B111 B115:B121 B125:B131 B135:B141 B145:B151 B155:B161 B165:B171 B175:B181 B185:B191 B195:B201 B205:B211 B215:B221 B225:B231 B235:B241 B245:B251 B255:B261 B265:B271 B275:B281 B285:B291 B295:B301 B305:B311 B315:B321 B325:B331 B335:B341 B345:B351 B355:B361 B365:B371 B375:B381 B385:B391 B395:B401 B405:B411 B415:B421 B425:B431 B435:B441 B445:B451 B455:B461 B465:B471 B475:B481 B485:B491 B495:B501 B505:B511 B515:B521">
      <formula1>"Click to select,Books,Articles,Other/Mixed"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38"/>
    <col customWidth="1" min="2" max="2" width="19.13"/>
    <col customWidth="1" min="3" max="3" width="10.88"/>
    <col customWidth="1" min="4" max="4" width="15.0"/>
    <col customWidth="1" min="6" max="6" width="15.63"/>
  </cols>
  <sheetData>
    <row r="1">
      <c r="A1" s="42" t="s">
        <v>457</v>
      </c>
      <c r="B1" s="43" t="s">
        <v>458</v>
      </c>
      <c r="C1" s="33" t="s">
        <v>42</v>
      </c>
      <c r="D1" s="3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B2" s="21"/>
      <c r="C2" s="21"/>
      <c r="D2" s="34">
        <f>SUM(C4:C521)/60</f>
        <v>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35" t="s">
        <v>6</v>
      </c>
      <c r="B4" s="36"/>
      <c r="C4" s="41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22" t="s">
        <v>43</v>
      </c>
      <c r="B5" s="22" t="s">
        <v>44</v>
      </c>
      <c r="C5" s="38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22" t="s">
        <v>45</v>
      </c>
      <c r="B6" s="22" t="s">
        <v>44</v>
      </c>
      <c r="C6" s="20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22" t="s">
        <v>46</v>
      </c>
      <c r="B7" s="22" t="s">
        <v>44</v>
      </c>
      <c r="C7" s="20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22" t="s">
        <v>47</v>
      </c>
      <c r="B8" s="22" t="s">
        <v>44</v>
      </c>
      <c r="C8" s="29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22" t="s">
        <v>48</v>
      </c>
      <c r="B9" s="22" t="s">
        <v>44</v>
      </c>
      <c r="C9" s="20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22" t="s">
        <v>49</v>
      </c>
      <c r="B10" s="22" t="s">
        <v>44</v>
      </c>
      <c r="C10" s="29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22" t="s">
        <v>50</v>
      </c>
      <c r="B11" s="22" t="s">
        <v>44</v>
      </c>
      <c r="C11" s="29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5"/>
      <c r="B12" s="5"/>
      <c r="C12" s="39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/>
      <c r="B13" s="5"/>
      <c r="C13" s="39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35" t="s">
        <v>11</v>
      </c>
      <c r="B14" s="36"/>
      <c r="C14" s="41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22" t="s">
        <v>51</v>
      </c>
      <c r="B15" s="40" t="s">
        <v>44</v>
      </c>
      <c r="C15" s="38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22" t="s">
        <v>52</v>
      </c>
      <c r="B16" s="22" t="s">
        <v>44</v>
      </c>
      <c r="C16" s="20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22" t="s">
        <v>53</v>
      </c>
      <c r="B17" s="22" t="s">
        <v>44</v>
      </c>
      <c r="C17" s="20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22" t="s">
        <v>54</v>
      </c>
      <c r="B18" s="22" t="s">
        <v>44</v>
      </c>
      <c r="C18" s="29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22" t="s">
        <v>55</v>
      </c>
      <c r="B19" s="22" t="s">
        <v>44</v>
      </c>
      <c r="C19" s="20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22" t="s">
        <v>56</v>
      </c>
      <c r="B20" s="22" t="s">
        <v>44</v>
      </c>
      <c r="C20" s="29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22" t="s">
        <v>57</v>
      </c>
      <c r="B21" s="22" t="s">
        <v>44</v>
      </c>
      <c r="C21" s="29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39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39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35" t="s">
        <v>14</v>
      </c>
      <c r="B24" s="36"/>
      <c r="C24" s="41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22" t="s">
        <v>58</v>
      </c>
      <c r="B25" s="40" t="s">
        <v>44</v>
      </c>
      <c r="C25" s="38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22" t="s">
        <v>59</v>
      </c>
      <c r="B26" s="22" t="s">
        <v>44</v>
      </c>
      <c r="C26" s="20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22" t="s">
        <v>60</v>
      </c>
      <c r="B27" s="22" t="s">
        <v>44</v>
      </c>
      <c r="C27" s="20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22" t="s">
        <v>61</v>
      </c>
      <c r="B28" s="22" t="s">
        <v>44</v>
      </c>
      <c r="C28" s="29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22" t="s">
        <v>62</v>
      </c>
      <c r="B29" s="22" t="s">
        <v>44</v>
      </c>
      <c r="C29" s="20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22" t="s">
        <v>63</v>
      </c>
      <c r="B30" s="22" t="s">
        <v>44</v>
      </c>
      <c r="C30" s="29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22" t="s">
        <v>64</v>
      </c>
      <c r="B31" s="22" t="s">
        <v>44</v>
      </c>
      <c r="C31" s="29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39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39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35" t="s">
        <v>17</v>
      </c>
      <c r="B34" s="36"/>
      <c r="C34" s="41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22" t="s">
        <v>65</v>
      </c>
      <c r="B35" s="40" t="s">
        <v>44</v>
      </c>
      <c r="C35" s="38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22" t="s">
        <v>66</v>
      </c>
      <c r="B36" s="22" t="s">
        <v>44</v>
      </c>
      <c r="C36" s="20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22" t="s">
        <v>67</v>
      </c>
      <c r="B37" s="22" t="s">
        <v>44</v>
      </c>
      <c r="C37" s="20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22" t="s">
        <v>68</v>
      </c>
      <c r="B38" s="22" t="s">
        <v>44</v>
      </c>
      <c r="C38" s="29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22" t="s">
        <v>69</v>
      </c>
      <c r="B39" s="22" t="s">
        <v>44</v>
      </c>
      <c r="C39" s="20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22" t="s">
        <v>70</v>
      </c>
      <c r="B40" s="22" t="s">
        <v>44</v>
      </c>
      <c r="C40" s="29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22" t="s">
        <v>71</v>
      </c>
      <c r="B41" s="22" t="s">
        <v>44</v>
      </c>
      <c r="C41" s="29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39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39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35" t="s">
        <v>72</v>
      </c>
      <c r="B44" s="36"/>
      <c r="C44" s="41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22" t="s">
        <v>73</v>
      </c>
      <c r="B45" s="40" t="s">
        <v>44</v>
      </c>
      <c r="C45" s="38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22" t="s">
        <v>74</v>
      </c>
      <c r="B46" s="22" t="s">
        <v>44</v>
      </c>
      <c r="C46" s="20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22" t="s">
        <v>75</v>
      </c>
      <c r="B47" s="22" t="s">
        <v>44</v>
      </c>
      <c r="C47" s="20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22" t="s">
        <v>76</v>
      </c>
      <c r="B48" s="22" t="s">
        <v>44</v>
      </c>
      <c r="C48" s="29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22" t="s">
        <v>77</v>
      </c>
      <c r="B49" s="22" t="s">
        <v>44</v>
      </c>
      <c r="C49" s="20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22" t="s">
        <v>78</v>
      </c>
      <c r="B50" s="22" t="s">
        <v>44</v>
      </c>
      <c r="C50" s="29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22" t="s">
        <v>79</v>
      </c>
      <c r="B51" s="22" t="s">
        <v>44</v>
      </c>
      <c r="C51" s="29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39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39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35" t="s">
        <v>80</v>
      </c>
      <c r="B54" s="36"/>
      <c r="C54" s="41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22" t="s">
        <v>81</v>
      </c>
      <c r="B55" s="40" t="s">
        <v>44</v>
      </c>
      <c r="C55" s="38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22" t="s">
        <v>82</v>
      </c>
      <c r="B56" s="22" t="s">
        <v>44</v>
      </c>
      <c r="C56" s="20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22" t="s">
        <v>83</v>
      </c>
      <c r="B57" s="22" t="s">
        <v>44</v>
      </c>
      <c r="C57" s="20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22" t="s">
        <v>84</v>
      </c>
      <c r="B58" s="22" t="s">
        <v>44</v>
      </c>
      <c r="C58" s="29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22" t="s">
        <v>85</v>
      </c>
      <c r="B59" s="22" t="s">
        <v>44</v>
      </c>
      <c r="C59" s="20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22" t="s">
        <v>86</v>
      </c>
      <c r="B60" s="22" t="s">
        <v>44</v>
      </c>
      <c r="C60" s="29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22" t="s">
        <v>87</v>
      </c>
      <c r="B61" s="22" t="s">
        <v>44</v>
      </c>
      <c r="C61" s="29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39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39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35" t="s">
        <v>88</v>
      </c>
      <c r="B64" s="36"/>
      <c r="C64" s="41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22" t="s">
        <v>89</v>
      </c>
      <c r="B65" s="40" t="s">
        <v>44</v>
      </c>
      <c r="C65" s="38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22" t="s">
        <v>90</v>
      </c>
      <c r="B66" s="22" t="s">
        <v>44</v>
      </c>
      <c r="C66" s="20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22" t="s">
        <v>91</v>
      </c>
      <c r="B67" s="22" t="s">
        <v>44</v>
      </c>
      <c r="C67" s="20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22" t="s">
        <v>92</v>
      </c>
      <c r="B68" s="22" t="s">
        <v>44</v>
      </c>
      <c r="C68" s="29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22" t="s">
        <v>93</v>
      </c>
      <c r="B69" s="22" t="s">
        <v>44</v>
      </c>
      <c r="C69" s="20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22" t="s">
        <v>94</v>
      </c>
      <c r="B70" s="22" t="s">
        <v>44</v>
      </c>
      <c r="C70" s="29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22" t="s">
        <v>95</v>
      </c>
      <c r="B71" s="22" t="s">
        <v>44</v>
      </c>
      <c r="C71" s="29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39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39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35" t="s">
        <v>96</v>
      </c>
      <c r="B74" s="36"/>
      <c r="C74" s="41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22" t="s">
        <v>97</v>
      </c>
      <c r="B75" s="40" t="s">
        <v>44</v>
      </c>
      <c r="C75" s="38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22" t="s">
        <v>98</v>
      </c>
      <c r="B76" s="22" t="s">
        <v>44</v>
      </c>
      <c r="C76" s="20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22" t="s">
        <v>99</v>
      </c>
      <c r="B77" s="22" t="s">
        <v>44</v>
      </c>
      <c r="C77" s="20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22" t="s">
        <v>100</v>
      </c>
      <c r="B78" s="22" t="s">
        <v>44</v>
      </c>
      <c r="C78" s="29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22" t="s">
        <v>101</v>
      </c>
      <c r="B79" s="22" t="s">
        <v>44</v>
      </c>
      <c r="C79" s="20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22" t="s">
        <v>102</v>
      </c>
      <c r="B80" s="22" t="s">
        <v>44</v>
      </c>
      <c r="C80" s="29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22" t="s">
        <v>103</v>
      </c>
      <c r="B81" s="22" t="s">
        <v>44</v>
      </c>
      <c r="C81" s="29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39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39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35" t="s">
        <v>104</v>
      </c>
      <c r="B84" s="36"/>
      <c r="C84" s="41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22" t="s">
        <v>105</v>
      </c>
      <c r="B85" s="40" t="s">
        <v>44</v>
      </c>
      <c r="C85" s="38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22" t="s">
        <v>106</v>
      </c>
      <c r="B86" s="22" t="s">
        <v>44</v>
      </c>
      <c r="C86" s="20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22" t="s">
        <v>107</v>
      </c>
      <c r="B87" s="22" t="s">
        <v>44</v>
      </c>
      <c r="C87" s="20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22" t="s">
        <v>108</v>
      </c>
      <c r="B88" s="22" t="s">
        <v>44</v>
      </c>
      <c r="C88" s="29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22" t="s">
        <v>109</v>
      </c>
      <c r="B89" s="22" t="s">
        <v>44</v>
      </c>
      <c r="C89" s="20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22" t="s">
        <v>110</v>
      </c>
      <c r="B90" s="22" t="s">
        <v>44</v>
      </c>
      <c r="C90" s="29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22" t="s">
        <v>111</v>
      </c>
      <c r="B91" s="22" t="s">
        <v>44</v>
      </c>
      <c r="C91" s="29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39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39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35" t="s">
        <v>112</v>
      </c>
      <c r="B94" s="36"/>
      <c r="C94" s="41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22" t="s">
        <v>113</v>
      </c>
      <c r="B95" s="40" t="s">
        <v>44</v>
      </c>
      <c r="C95" s="38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22" t="s">
        <v>114</v>
      </c>
      <c r="B96" s="22" t="s">
        <v>44</v>
      </c>
      <c r="C96" s="20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22" t="s">
        <v>115</v>
      </c>
      <c r="B97" s="22" t="s">
        <v>44</v>
      </c>
      <c r="C97" s="20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22" t="s">
        <v>116</v>
      </c>
      <c r="B98" s="22" t="s">
        <v>44</v>
      </c>
      <c r="C98" s="29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22" t="s">
        <v>117</v>
      </c>
      <c r="B99" s="22" t="s">
        <v>44</v>
      </c>
      <c r="C99" s="20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22" t="s">
        <v>118</v>
      </c>
      <c r="B100" s="22" t="s">
        <v>44</v>
      </c>
      <c r="C100" s="29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22" t="s">
        <v>119</v>
      </c>
      <c r="B101" s="22" t="s">
        <v>44</v>
      </c>
      <c r="C101" s="29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39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39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35" t="s">
        <v>120</v>
      </c>
      <c r="B104" s="36"/>
      <c r="C104" s="41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22" t="s">
        <v>121</v>
      </c>
      <c r="B105" s="40" t="s">
        <v>44</v>
      </c>
      <c r="C105" s="38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22" t="s">
        <v>122</v>
      </c>
      <c r="B106" s="22" t="s">
        <v>44</v>
      </c>
      <c r="C106" s="20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22" t="s">
        <v>123</v>
      </c>
      <c r="B107" s="22" t="s">
        <v>44</v>
      </c>
      <c r="C107" s="20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22" t="s">
        <v>124</v>
      </c>
      <c r="B108" s="22" t="s">
        <v>44</v>
      </c>
      <c r="C108" s="29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22" t="s">
        <v>125</v>
      </c>
      <c r="B109" s="22" t="s">
        <v>44</v>
      </c>
      <c r="C109" s="20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22" t="s">
        <v>126</v>
      </c>
      <c r="B110" s="22" t="s">
        <v>44</v>
      </c>
      <c r="C110" s="29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22" t="s">
        <v>127</v>
      </c>
      <c r="B111" s="22" t="s">
        <v>44</v>
      </c>
      <c r="C111" s="29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39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39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35" t="s">
        <v>128</v>
      </c>
      <c r="B114" s="36"/>
      <c r="C114" s="41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22" t="s">
        <v>129</v>
      </c>
      <c r="B115" s="40" t="s">
        <v>44</v>
      </c>
      <c r="C115" s="38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22" t="s">
        <v>130</v>
      </c>
      <c r="B116" s="22" t="s">
        <v>44</v>
      </c>
      <c r="C116" s="20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22" t="s">
        <v>131</v>
      </c>
      <c r="B117" s="22" t="s">
        <v>44</v>
      </c>
      <c r="C117" s="20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22" t="s">
        <v>132</v>
      </c>
      <c r="B118" s="22" t="s">
        <v>44</v>
      </c>
      <c r="C118" s="29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22" t="s">
        <v>133</v>
      </c>
      <c r="B119" s="22" t="s">
        <v>44</v>
      </c>
      <c r="C119" s="20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22" t="s">
        <v>134</v>
      </c>
      <c r="B120" s="22" t="s">
        <v>44</v>
      </c>
      <c r="C120" s="29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22" t="s">
        <v>135</v>
      </c>
      <c r="B121" s="22" t="s">
        <v>44</v>
      </c>
      <c r="C121" s="29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39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39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35" t="s">
        <v>136</v>
      </c>
      <c r="B124" s="36"/>
      <c r="C124" s="41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22" t="s">
        <v>137</v>
      </c>
      <c r="B125" s="40" t="s">
        <v>44</v>
      </c>
      <c r="C125" s="38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22" t="s">
        <v>138</v>
      </c>
      <c r="B126" s="22" t="s">
        <v>44</v>
      </c>
      <c r="C126" s="20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22" t="s">
        <v>139</v>
      </c>
      <c r="B127" s="22" t="s">
        <v>44</v>
      </c>
      <c r="C127" s="20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22" t="s">
        <v>140</v>
      </c>
      <c r="B128" s="22" t="s">
        <v>44</v>
      </c>
      <c r="C128" s="29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22" t="s">
        <v>141</v>
      </c>
      <c r="B129" s="22" t="s">
        <v>44</v>
      </c>
      <c r="C129" s="20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22" t="s">
        <v>142</v>
      </c>
      <c r="B130" s="22" t="s">
        <v>44</v>
      </c>
      <c r="C130" s="29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22" t="s">
        <v>143</v>
      </c>
      <c r="B131" s="22" t="s">
        <v>44</v>
      </c>
      <c r="C131" s="29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39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39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35" t="s">
        <v>144</v>
      </c>
      <c r="B134" s="36"/>
      <c r="C134" s="41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22" t="s">
        <v>145</v>
      </c>
      <c r="B135" s="40" t="s">
        <v>44</v>
      </c>
      <c r="C135" s="38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22" t="s">
        <v>146</v>
      </c>
      <c r="B136" s="22" t="s">
        <v>44</v>
      </c>
      <c r="C136" s="20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22" t="s">
        <v>147</v>
      </c>
      <c r="B137" s="22" t="s">
        <v>44</v>
      </c>
      <c r="C137" s="20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22" t="s">
        <v>148</v>
      </c>
      <c r="B138" s="22" t="s">
        <v>44</v>
      </c>
      <c r="C138" s="29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22" t="s">
        <v>149</v>
      </c>
      <c r="B139" s="22" t="s">
        <v>44</v>
      </c>
      <c r="C139" s="20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22" t="s">
        <v>150</v>
      </c>
      <c r="B140" s="22" t="s">
        <v>44</v>
      </c>
      <c r="C140" s="29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22" t="s">
        <v>151</v>
      </c>
      <c r="B141" s="22" t="s">
        <v>44</v>
      </c>
      <c r="C141" s="29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39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39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35" t="s">
        <v>152</v>
      </c>
      <c r="B144" s="36"/>
      <c r="C144" s="41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22" t="s">
        <v>153</v>
      </c>
      <c r="B145" s="40" t="s">
        <v>44</v>
      </c>
      <c r="C145" s="38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22" t="s">
        <v>154</v>
      </c>
      <c r="B146" s="22" t="s">
        <v>44</v>
      </c>
      <c r="C146" s="20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22" t="s">
        <v>155</v>
      </c>
      <c r="B147" s="22" t="s">
        <v>44</v>
      </c>
      <c r="C147" s="20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22" t="s">
        <v>156</v>
      </c>
      <c r="B148" s="22" t="s">
        <v>44</v>
      </c>
      <c r="C148" s="29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22" t="s">
        <v>157</v>
      </c>
      <c r="B149" s="22" t="s">
        <v>44</v>
      </c>
      <c r="C149" s="20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22" t="s">
        <v>158</v>
      </c>
      <c r="B150" s="22" t="s">
        <v>44</v>
      </c>
      <c r="C150" s="29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22" t="s">
        <v>159</v>
      </c>
      <c r="B151" s="22" t="s">
        <v>44</v>
      </c>
      <c r="C151" s="29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39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39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35" t="s">
        <v>160</v>
      </c>
      <c r="B154" s="36"/>
      <c r="C154" s="41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22" t="s">
        <v>161</v>
      </c>
      <c r="B155" s="40" t="s">
        <v>44</v>
      </c>
      <c r="C155" s="38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22" t="s">
        <v>162</v>
      </c>
      <c r="B156" s="22" t="s">
        <v>44</v>
      </c>
      <c r="C156" s="20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22" t="s">
        <v>163</v>
      </c>
      <c r="B157" s="22" t="s">
        <v>44</v>
      </c>
      <c r="C157" s="20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22" t="s">
        <v>164</v>
      </c>
      <c r="B158" s="22" t="s">
        <v>44</v>
      </c>
      <c r="C158" s="29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22" t="s">
        <v>165</v>
      </c>
      <c r="B159" s="22" t="s">
        <v>44</v>
      </c>
      <c r="C159" s="20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22" t="s">
        <v>166</v>
      </c>
      <c r="B160" s="22" t="s">
        <v>44</v>
      </c>
      <c r="C160" s="29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22" t="s">
        <v>167</v>
      </c>
      <c r="B161" s="22" t="s">
        <v>44</v>
      </c>
      <c r="C161" s="29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39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39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35" t="s">
        <v>168</v>
      </c>
      <c r="B164" s="36"/>
      <c r="C164" s="41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22" t="s">
        <v>169</v>
      </c>
      <c r="B165" s="40" t="s">
        <v>44</v>
      </c>
      <c r="C165" s="38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22" t="s">
        <v>170</v>
      </c>
      <c r="B166" s="22" t="s">
        <v>44</v>
      </c>
      <c r="C166" s="20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22" t="s">
        <v>171</v>
      </c>
      <c r="B167" s="22" t="s">
        <v>44</v>
      </c>
      <c r="C167" s="20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22" t="s">
        <v>172</v>
      </c>
      <c r="B168" s="22" t="s">
        <v>44</v>
      </c>
      <c r="C168" s="29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22" t="s">
        <v>173</v>
      </c>
      <c r="B169" s="22" t="s">
        <v>44</v>
      </c>
      <c r="C169" s="20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22" t="s">
        <v>174</v>
      </c>
      <c r="B170" s="22" t="s">
        <v>44</v>
      </c>
      <c r="C170" s="29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22" t="s">
        <v>175</v>
      </c>
      <c r="B171" s="22" t="s">
        <v>44</v>
      </c>
      <c r="C171" s="29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39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39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35" t="s">
        <v>176</v>
      </c>
      <c r="B174" s="36"/>
      <c r="C174" s="41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22" t="s">
        <v>177</v>
      </c>
      <c r="B175" s="40" t="s">
        <v>44</v>
      </c>
      <c r="C175" s="38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22" t="s">
        <v>178</v>
      </c>
      <c r="B176" s="22" t="s">
        <v>44</v>
      </c>
      <c r="C176" s="20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22" t="s">
        <v>179</v>
      </c>
      <c r="B177" s="22" t="s">
        <v>44</v>
      </c>
      <c r="C177" s="20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22" t="s">
        <v>180</v>
      </c>
      <c r="B178" s="22" t="s">
        <v>44</v>
      </c>
      <c r="C178" s="29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22" t="s">
        <v>181</v>
      </c>
      <c r="B179" s="22" t="s">
        <v>44</v>
      </c>
      <c r="C179" s="20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22" t="s">
        <v>182</v>
      </c>
      <c r="B180" s="22" t="s">
        <v>44</v>
      </c>
      <c r="C180" s="29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22" t="s">
        <v>183</v>
      </c>
      <c r="B181" s="22" t="s">
        <v>44</v>
      </c>
      <c r="C181" s="29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39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39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35" t="s">
        <v>184</v>
      </c>
      <c r="B184" s="36"/>
      <c r="C184" s="41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22" t="s">
        <v>185</v>
      </c>
      <c r="B185" s="40" t="s">
        <v>44</v>
      </c>
      <c r="C185" s="38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22" t="s">
        <v>186</v>
      </c>
      <c r="B186" s="22" t="s">
        <v>44</v>
      </c>
      <c r="C186" s="20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22" t="s">
        <v>187</v>
      </c>
      <c r="B187" s="22" t="s">
        <v>44</v>
      </c>
      <c r="C187" s="20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22" t="s">
        <v>188</v>
      </c>
      <c r="B188" s="22" t="s">
        <v>44</v>
      </c>
      <c r="C188" s="29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22" t="s">
        <v>189</v>
      </c>
      <c r="B189" s="22" t="s">
        <v>44</v>
      </c>
      <c r="C189" s="20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22" t="s">
        <v>190</v>
      </c>
      <c r="B190" s="22" t="s">
        <v>44</v>
      </c>
      <c r="C190" s="29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22" t="s">
        <v>191</v>
      </c>
      <c r="B191" s="22" t="s">
        <v>44</v>
      </c>
      <c r="C191" s="29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39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39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35" t="s">
        <v>192</v>
      </c>
      <c r="B194" s="36"/>
      <c r="C194" s="41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22" t="s">
        <v>193</v>
      </c>
      <c r="B195" s="40" t="s">
        <v>44</v>
      </c>
      <c r="C195" s="38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22" t="s">
        <v>194</v>
      </c>
      <c r="B196" s="22" t="s">
        <v>44</v>
      </c>
      <c r="C196" s="20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22" t="s">
        <v>195</v>
      </c>
      <c r="B197" s="22" t="s">
        <v>44</v>
      </c>
      <c r="C197" s="20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22" t="s">
        <v>196</v>
      </c>
      <c r="B198" s="22" t="s">
        <v>44</v>
      </c>
      <c r="C198" s="29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22" t="s">
        <v>197</v>
      </c>
      <c r="B199" s="22" t="s">
        <v>44</v>
      </c>
      <c r="C199" s="20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22" t="s">
        <v>198</v>
      </c>
      <c r="B200" s="22" t="s">
        <v>44</v>
      </c>
      <c r="C200" s="29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22" t="s">
        <v>199</v>
      </c>
      <c r="B201" s="22" t="s">
        <v>44</v>
      </c>
      <c r="C201" s="29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39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39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35" t="s">
        <v>200</v>
      </c>
      <c r="B204" s="36"/>
      <c r="C204" s="41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22" t="s">
        <v>201</v>
      </c>
      <c r="B205" s="40" t="s">
        <v>44</v>
      </c>
      <c r="C205" s="38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22" t="s">
        <v>202</v>
      </c>
      <c r="B206" s="22" t="s">
        <v>44</v>
      </c>
      <c r="C206" s="20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22" t="s">
        <v>203</v>
      </c>
      <c r="B207" s="22" t="s">
        <v>44</v>
      </c>
      <c r="C207" s="20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22" t="s">
        <v>204</v>
      </c>
      <c r="B208" s="22" t="s">
        <v>44</v>
      </c>
      <c r="C208" s="29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22" t="s">
        <v>205</v>
      </c>
      <c r="B209" s="22" t="s">
        <v>44</v>
      </c>
      <c r="C209" s="20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22" t="s">
        <v>206</v>
      </c>
      <c r="B210" s="22" t="s">
        <v>44</v>
      </c>
      <c r="C210" s="29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22" t="s">
        <v>207</v>
      </c>
      <c r="B211" s="22" t="s">
        <v>44</v>
      </c>
      <c r="C211" s="29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39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39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35" t="s">
        <v>208</v>
      </c>
      <c r="B214" s="36"/>
      <c r="C214" s="41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22" t="s">
        <v>209</v>
      </c>
      <c r="B215" s="40" t="s">
        <v>44</v>
      </c>
      <c r="C215" s="38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22" t="s">
        <v>210</v>
      </c>
      <c r="B216" s="22" t="s">
        <v>44</v>
      </c>
      <c r="C216" s="20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22" t="s">
        <v>211</v>
      </c>
      <c r="B217" s="22" t="s">
        <v>44</v>
      </c>
      <c r="C217" s="20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22" t="s">
        <v>212</v>
      </c>
      <c r="B218" s="22" t="s">
        <v>44</v>
      </c>
      <c r="C218" s="29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22" t="s">
        <v>213</v>
      </c>
      <c r="B219" s="22" t="s">
        <v>44</v>
      </c>
      <c r="C219" s="20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22" t="s">
        <v>214</v>
      </c>
      <c r="B220" s="22" t="s">
        <v>44</v>
      </c>
      <c r="C220" s="29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22" t="s">
        <v>215</v>
      </c>
      <c r="B221" s="22" t="s">
        <v>44</v>
      </c>
      <c r="C221" s="29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39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39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35" t="s">
        <v>216</v>
      </c>
      <c r="B224" s="36"/>
      <c r="C224" s="41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22" t="s">
        <v>217</v>
      </c>
      <c r="B225" s="40" t="s">
        <v>44</v>
      </c>
      <c r="C225" s="38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22" t="s">
        <v>218</v>
      </c>
      <c r="B226" s="22" t="s">
        <v>44</v>
      </c>
      <c r="C226" s="20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22" t="s">
        <v>219</v>
      </c>
      <c r="B227" s="22" t="s">
        <v>44</v>
      </c>
      <c r="C227" s="20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22" t="s">
        <v>220</v>
      </c>
      <c r="B228" s="22" t="s">
        <v>44</v>
      </c>
      <c r="C228" s="29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22" t="s">
        <v>221</v>
      </c>
      <c r="B229" s="22" t="s">
        <v>44</v>
      </c>
      <c r="C229" s="20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22" t="s">
        <v>222</v>
      </c>
      <c r="B230" s="22" t="s">
        <v>44</v>
      </c>
      <c r="C230" s="29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22" t="s">
        <v>223</v>
      </c>
      <c r="B231" s="22" t="s">
        <v>44</v>
      </c>
      <c r="C231" s="29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39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39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35" t="s">
        <v>224</v>
      </c>
      <c r="B234" s="36"/>
      <c r="C234" s="41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22" t="s">
        <v>225</v>
      </c>
      <c r="B235" s="40" t="s">
        <v>44</v>
      </c>
      <c r="C235" s="38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22" t="s">
        <v>226</v>
      </c>
      <c r="B236" s="22" t="s">
        <v>44</v>
      </c>
      <c r="C236" s="20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22" t="s">
        <v>227</v>
      </c>
      <c r="B237" s="22" t="s">
        <v>44</v>
      </c>
      <c r="C237" s="20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22" t="s">
        <v>228</v>
      </c>
      <c r="B238" s="22" t="s">
        <v>44</v>
      </c>
      <c r="C238" s="29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22" t="s">
        <v>229</v>
      </c>
      <c r="B239" s="22" t="s">
        <v>44</v>
      </c>
      <c r="C239" s="20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22" t="s">
        <v>230</v>
      </c>
      <c r="B240" s="22" t="s">
        <v>44</v>
      </c>
      <c r="C240" s="29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22" t="s">
        <v>231</v>
      </c>
      <c r="B241" s="22" t="s">
        <v>44</v>
      </c>
      <c r="C241" s="29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39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39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35" t="s">
        <v>232</v>
      </c>
      <c r="B244" s="36"/>
      <c r="C244" s="41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22" t="s">
        <v>233</v>
      </c>
      <c r="B245" s="40" t="s">
        <v>44</v>
      </c>
      <c r="C245" s="38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22" t="s">
        <v>234</v>
      </c>
      <c r="B246" s="22" t="s">
        <v>44</v>
      </c>
      <c r="C246" s="20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22" t="s">
        <v>235</v>
      </c>
      <c r="B247" s="22" t="s">
        <v>44</v>
      </c>
      <c r="C247" s="20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22" t="s">
        <v>236</v>
      </c>
      <c r="B248" s="22" t="s">
        <v>44</v>
      </c>
      <c r="C248" s="29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22" t="s">
        <v>237</v>
      </c>
      <c r="B249" s="22" t="s">
        <v>44</v>
      </c>
      <c r="C249" s="20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22" t="s">
        <v>238</v>
      </c>
      <c r="B250" s="22" t="s">
        <v>44</v>
      </c>
      <c r="C250" s="29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22" t="s">
        <v>239</v>
      </c>
      <c r="B251" s="22" t="s">
        <v>44</v>
      </c>
      <c r="C251" s="29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39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39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35" t="s">
        <v>240</v>
      </c>
      <c r="B254" s="36"/>
      <c r="C254" s="41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22" t="s">
        <v>241</v>
      </c>
      <c r="B255" s="40" t="s">
        <v>44</v>
      </c>
      <c r="C255" s="38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22" t="s">
        <v>242</v>
      </c>
      <c r="B256" s="22" t="s">
        <v>44</v>
      </c>
      <c r="C256" s="20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22" t="s">
        <v>243</v>
      </c>
      <c r="B257" s="22" t="s">
        <v>44</v>
      </c>
      <c r="C257" s="20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22" t="s">
        <v>244</v>
      </c>
      <c r="B258" s="22" t="s">
        <v>44</v>
      </c>
      <c r="C258" s="29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22" t="s">
        <v>245</v>
      </c>
      <c r="B259" s="22" t="s">
        <v>44</v>
      </c>
      <c r="C259" s="20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22" t="s">
        <v>246</v>
      </c>
      <c r="B260" s="22" t="s">
        <v>44</v>
      </c>
      <c r="C260" s="29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22" t="s">
        <v>247</v>
      </c>
      <c r="B261" s="22" t="s">
        <v>44</v>
      </c>
      <c r="C261" s="29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39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39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35" t="s">
        <v>248</v>
      </c>
      <c r="B264" s="36"/>
      <c r="C264" s="41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22" t="s">
        <v>249</v>
      </c>
      <c r="B265" s="40" t="s">
        <v>44</v>
      </c>
      <c r="C265" s="38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22" t="s">
        <v>250</v>
      </c>
      <c r="B266" s="22" t="s">
        <v>44</v>
      </c>
      <c r="C266" s="20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22" t="s">
        <v>251</v>
      </c>
      <c r="B267" s="22" t="s">
        <v>44</v>
      </c>
      <c r="C267" s="20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22" t="s">
        <v>252</v>
      </c>
      <c r="B268" s="22" t="s">
        <v>44</v>
      </c>
      <c r="C268" s="29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22" t="s">
        <v>253</v>
      </c>
      <c r="B269" s="22" t="s">
        <v>44</v>
      </c>
      <c r="C269" s="20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22" t="s">
        <v>254</v>
      </c>
      <c r="B270" s="22" t="s">
        <v>44</v>
      </c>
      <c r="C270" s="29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22" t="s">
        <v>255</v>
      </c>
      <c r="B271" s="22" t="s">
        <v>44</v>
      </c>
      <c r="C271" s="29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39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39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35" t="s">
        <v>256</v>
      </c>
      <c r="B274" s="36"/>
      <c r="C274" s="41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22" t="s">
        <v>257</v>
      </c>
      <c r="B275" s="40" t="s">
        <v>44</v>
      </c>
      <c r="C275" s="38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22" t="s">
        <v>258</v>
      </c>
      <c r="B276" s="22" t="s">
        <v>44</v>
      </c>
      <c r="C276" s="20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22" t="s">
        <v>259</v>
      </c>
      <c r="B277" s="22" t="s">
        <v>44</v>
      </c>
      <c r="C277" s="20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22" t="s">
        <v>260</v>
      </c>
      <c r="B278" s="22" t="s">
        <v>44</v>
      </c>
      <c r="C278" s="29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22" t="s">
        <v>261</v>
      </c>
      <c r="B279" s="22" t="s">
        <v>44</v>
      </c>
      <c r="C279" s="20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22" t="s">
        <v>262</v>
      </c>
      <c r="B280" s="22" t="s">
        <v>44</v>
      </c>
      <c r="C280" s="29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22" t="s">
        <v>263</v>
      </c>
      <c r="B281" s="22" t="s">
        <v>44</v>
      </c>
      <c r="C281" s="29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39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39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35" t="s">
        <v>264</v>
      </c>
      <c r="B284" s="36"/>
      <c r="C284" s="41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22" t="s">
        <v>265</v>
      </c>
      <c r="B285" s="40" t="s">
        <v>44</v>
      </c>
      <c r="C285" s="38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22" t="s">
        <v>266</v>
      </c>
      <c r="B286" s="22" t="s">
        <v>44</v>
      </c>
      <c r="C286" s="20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22" t="s">
        <v>267</v>
      </c>
      <c r="B287" s="22" t="s">
        <v>44</v>
      </c>
      <c r="C287" s="20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22" t="s">
        <v>268</v>
      </c>
      <c r="B288" s="22" t="s">
        <v>44</v>
      </c>
      <c r="C288" s="29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22" t="s">
        <v>269</v>
      </c>
      <c r="B289" s="22" t="s">
        <v>44</v>
      </c>
      <c r="C289" s="20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22" t="s">
        <v>270</v>
      </c>
      <c r="B290" s="22" t="s">
        <v>44</v>
      </c>
      <c r="C290" s="29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22" t="s">
        <v>271</v>
      </c>
      <c r="B291" s="22" t="s">
        <v>44</v>
      </c>
      <c r="C291" s="29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39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39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35" t="s">
        <v>272</v>
      </c>
      <c r="B294" s="36"/>
      <c r="C294" s="41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22" t="s">
        <v>273</v>
      </c>
      <c r="B295" s="40" t="s">
        <v>44</v>
      </c>
      <c r="C295" s="38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22" t="s">
        <v>274</v>
      </c>
      <c r="B296" s="22" t="s">
        <v>44</v>
      </c>
      <c r="C296" s="20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22" t="s">
        <v>275</v>
      </c>
      <c r="B297" s="22" t="s">
        <v>44</v>
      </c>
      <c r="C297" s="20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22" t="s">
        <v>276</v>
      </c>
      <c r="B298" s="22" t="s">
        <v>44</v>
      </c>
      <c r="C298" s="29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22" t="s">
        <v>277</v>
      </c>
      <c r="B299" s="22" t="s">
        <v>44</v>
      </c>
      <c r="C299" s="20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22" t="s">
        <v>278</v>
      </c>
      <c r="B300" s="22" t="s">
        <v>44</v>
      </c>
      <c r="C300" s="29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22" t="s">
        <v>279</v>
      </c>
      <c r="B301" s="22" t="s">
        <v>44</v>
      </c>
      <c r="C301" s="29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39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39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35" t="s">
        <v>280</v>
      </c>
      <c r="B304" s="36"/>
      <c r="C304" s="41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22" t="s">
        <v>281</v>
      </c>
      <c r="B305" s="40" t="s">
        <v>44</v>
      </c>
      <c r="C305" s="38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22" t="s">
        <v>282</v>
      </c>
      <c r="B306" s="22" t="s">
        <v>44</v>
      </c>
      <c r="C306" s="20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22" t="s">
        <v>283</v>
      </c>
      <c r="B307" s="22" t="s">
        <v>44</v>
      </c>
      <c r="C307" s="20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22" t="s">
        <v>284</v>
      </c>
      <c r="B308" s="22" t="s">
        <v>44</v>
      </c>
      <c r="C308" s="29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22" t="s">
        <v>285</v>
      </c>
      <c r="B309" s="22" t="s">
        <v>44</v>
      </c>
      <c r="C309" s="20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22" t="s">
        <v>286</v>
      </c>
      <c r="B310" s="22" t="s">
        <v>44</v>
      </c>
      <c r="C310" s="29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22" t="s">
        <v>287</v>
      </c>
      <c r="B311" s="22" t="s">
        <v>44</v>
      </c>
      <c r="C311" s="29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39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39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35" t="s">
        <v>288</v>
      </c>
      <c r="B314" s="36"/>
      <c r="C314" s="41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22" t="s">
        <v>289</v>
      </c>
      <c r="B315" s="40" t="s">
        <v>44</v>
      </c>
      <c r="C315" s="38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22" t="s">
        <v>290</v>
      </c>
      <c r="B316" s="22" t="s">
        <v>44</v>
      </c>
      <c r="C316" s="20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22" t="s">
        <v>291</v>
      </c>
      <c r="B317" s="22" t="s">
        <v>44</v>
      </c>
      <c r="C317" s="20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22" t="s">
        <v>292</v>
      </c>
      <c r="B318" s="22" t="s">
        <v>44</v>
      </c>
      <c r="C318" s="29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22" t="s">
        <v>293</v>
      </c>
      <c r="B319" s="22" t="s">
        <v>44</v>
      </c>
      <c r="C319" s="20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22" t="s">
        <v>294</v>
      </c>
      <c r="B320" s="22" t="s">
        <v>44</v>
      </c>
      <c r="C320" s="29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22" t="s">
        <v>295</v>
      </c>
      <c r="B321" s="22" t="s">
        <v>44</v>
      </c>
      <c r="C321" s="29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39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39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35" t="s">
        <v>296</v>
      </c>
      <c r="B324" s="36"/>
      <c r="C324" s="41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22" t="s">
        <v>297</v>
      </c>
      <c r="B325" s="40" t="s">
        <v>44</v>
      </c>
      <c r="C325" s="38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22" t="s">
        <v>298</v>
      </c>
      <c r="B326" s="22" t="s">
        <v>44</v>
      </c>
      <c r="C326" s="20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22" t="s">
        <v>299</v>
      </c>
      <c r="B327" s="22" t="s">
        <v>44</v>
      </c>
      <c r="C327" s="20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22" t="s">
        <v>300</v>
      </c>
      <c r="B328" s="22" t="s">
        <v>44</v>
      </c>
      <c r="C328" s="29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22" t="s">
        <v>301</v>
      </c>
      <c r="B329" s="22" t="s">
        <v>44</v>
      </c>
      <c r="C329" s="20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22" t="s">
        <v>302</v>
      </c>
      <c r="B330" s="22" t="s">
        <v>44</v>
      </c>
      <c r="C330" s="29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22" t="s">
        <v>303</v>
      </c>
      <c r="B331" s="22" t="s">
        <v>44</v>
      </c>
      <c r="C331" s="29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39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39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35" t="s">
        <v>304</v>
      </c>
      <c r="B334" s="36"/>
      <c r="C334" s="41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22" t="s">
        <v>305</v>
      </c>
      <c r="B335" s="40" t="s">
        <v>44</v>
      </c>
      <c r="C335" s="38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22" t="s">
        <v>306</v>
      </c>
      <c r="B336" s="22" t="s">
        <v>44</v>
      </c>
      <c r="C336" s="20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22" t="s">
        <v>307</v>
      </c>
      <c r="B337" s="22" t="s">
        <v>44</v>
      </c>
      <c r="C337" s="20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22" t="s">
        <v>308</v>
      </c>
      <c r="B338" s="22" t="s">
        <v>44</v>
      </c>
      <c r="C338" s="29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22" t="s">
        <v>309</v>
      </c>
      <c r="B339" s="22" t="s">
        <v>44</v>
      </c>
      <c r="C339" s="20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22" t="s">
        <v>310</v>
      </c>
      <c r="B340" s="22" t="s">
        <v>44</v>
      </c>
      <c r="C340" s="29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22" t="s">
        <v>311</v>
      </c>
      <c r="B341" s="22" t="s">
        <v>44</v>
      </c>
      <c r="C341" s="29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39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39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35" t="s">
        <v>312</v>
      </c>
      <c r="B344" s="36"/>
      <c r="C344" s="41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22" t="s">
        <v>313</v>
      </c>
      <c r="B345" s="40" t="s">
        <v>44</v>
      </c>
      <c r="C345" s="38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22" t="s">
        <v>314</v>
      </c>
      <c r="B346" s="22" t="s">
        <v>44</v>
      </c>
      <c r="C346" s="20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22" t="s">
        <v>315</v>
      </c>
      <c r="B347" s="22" t="s">
        <v>44</v>
      </c>
      <c r="C347" s="20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22" t="s">
        <v>316</v>
      </c>
      <c r="B348" s="22" t="s">
        <v>44</v>
      </c>
      <c r="C348" s="29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22" t="s">
        <v>317</v>
      </c>
      <c r="B349" s="22" t="s">
        <v>44</v>
      </c>
      <c r="C349" s="20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22" t="s">
        <v>318</v>
      </c>
      <c r="B350" s="22" t="s">
        <v>44</v>
      </c>
      <c r="C350" s="29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22" t="s">
        <v>319</v>
      </c>
      <c r="B351" s="22" t="s">
        <v>44</v>
      </c>
      <c r="C351" s="29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39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39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35" t="s">
        <v>320</v>
      </c>
      <c r="B354" s="36"/>
      <c r="C354" s="41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22" t="s">
        <v>321</v>
      </c>
      <c r="B355" s="40" t="s">
        <v>44</v>
      </c>
      <c r="C355" s="38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22" t="s">
        <v>322</v>
      </c>
      <c r="B356" s="22" t="s">
        <v>44</v>
      </c>
      <c r="C356" s="20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22" t="s">
        <v>323</v>
      </c>
      <c r="B357" s="22" t="s">
        <v>44</v>
      </c>
      <c r="C357" s="20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22" t="s">
        <v>324</v>
      </c>
      <c r="B358" s="22" t="s">
        <v>44</v>
      </c>
      <c r="C358" s="29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22" t="s">
        <v>325</v>
      </c>
      <c r="B359" s="22" t="s">
        <v>44</v>
      </c>
      <c r="C359" s="20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22" t="s">
        <v>326</v>
      </c>
      <c r="B360" s="22" t="s">
        <v>44</v>
      </c>
      <c r="C360" s="29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22" t="s">
        <v>327</v>
      </c>
      <c r="B361" s="22" t="s">
        <v>44</v>
      </c>
      <c r="C361" s="29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39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39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35" t="s">
        <v>328</v>
      </c>
      <c r="B364" s="36"/>
      <c r="C364" s="41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22" t="s">
        <v>329</v>
      </c>
      <c r="B365" s="40" t="s">
        <v>44</v>
      </c>
      <c r="C365" s="38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22" t="s">
        <v>330</v>
      </c>
      <c r="B366" s="22" t="s">
        <v>44</v>
      </c>
      <c r="C366" s="20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22" t="s">
        <v>331</v>
      </c>
      <c r="B367" s="22" t="s">
        <v>44</v>
      </c>
      <c r="C367" s="20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22" t="s">
        <v>332</v>
      </c>
      <c r="B368" s="22" t="s">
        <v>44</v>
      </c>
      <c r="C368" s="29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22" t="s">
        <v>333</v>
      </c>
      <c r="B369" s="22" t="s">
        <v>44</v>
      </c>
      <c r="C369" s="20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22" t="s">
        <v>334</v>
      </c>
      <c r="B370" s="22" t="s">
        <v>44</v>
      </c>
      <c r="C370" s="29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22" t="s">
        <v>335</v>
      </c>
      <c r="B371" s="22" t="s">
        <v>44</v>
      </c>
      <c r="C371" s="29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39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39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35" t="s">
        <v>336</v>
      </c>
      <c r="B374" s="36"/>
      <c r="C374" s="41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22" t="s">
        <v>337</v>
      </c>
      <c r="B375" s="40" t="s">
        <v>44</v>
      </c>
      <c r="C375" s="38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22" t="s">
        <v>338</v>
      </c>
      <c r="B376" s="22" t="s">
        <v>44</v>
      </c>
      <c r="C376" s="20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22" t="s">
        <v>339</v>
      </c>
      <c r="B377" s="22" t="s">
        <v>44</v>
      </c>
      <c r="C377" s="20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22" t="s">
        <v>340</v>
      </c>
      <c r="B378" s="22" t="s">
        <v>44</v>
      </c>
      <c r="C378" s="29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22" t="s">
        <v>341</v>
      </c>
      <c r="B379" s="22" t="s">
        <v>44</v>
      </c>
      <c r="C379" s="20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22" t="s">
        <v>342</v>
      </c>
      <c r="B380" s="22" t="s">
        <v>44</v>
      </c>
      <c r="C380" s="29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22" t="s">
        <v>343</v>
      </c>
      <c r="B381" s="22" t="s">
        <v>44</v>
      </c>
      <c r="C381" s="29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39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39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35" t="s">
        <v>344</v>
      </c>
      <c r="B384" s="36"/>
      <c r="C384" s="41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22" t="s">
        <v>345</v>
      </c>
      <c r="B385" s="40" t="s">
        <v>44</v>
      </c>
      <c r="C385" s="38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22" t="s">
        <v>346</v>
      </c>
      <c r="B386" s="22" t="s">
        <v>44</v>
      </c>
      <c r="C386" s="20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22" t="s">
        <v>347</v>
      </c>
      <c r="B387" s="22" t="s">
        <v>44</v>
      </c>
      <c r="C387" s="20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22" t="s">
        <v>348</v>
      </c>
      <c r="B388" s="22" t="s">
        <v>44</v>
      </c>
      <c r="C388" s="29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22" t="s">
        <v>349</v>
      </c>
      <c r="B389" s="22" t="s">
        <v>44</v>
      </c>
      <c r="C389" s="20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22" t="s">
        <v>350</v>
      </c>
      <c r="B390" s="22" t="s">
        <v>44</v>
      </c>
      <c r="C390" s="29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22" t="s">
        <v>351</v>
      </c>
      <c r="B391" s="22" t="s">
        <v>44</v>
      </c>
      <c r="C391" s="29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39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39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35" t="s">
        <v>352</v>
      </c>
      <c r="B394" s="36"/>
      <c r="C394" s="41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22" t="s">
        <v>353</v>
      </c>
      <c r="B395" s="40" t="s">
        <v>44</v>
      </c>
      <c r="C395" s="38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22" t="s">
        <v>354</v>
      </c>
      <c r="B396" s="22" t="s">
        <v>44</v>
      </c>
      <c r="C396" s="20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22" t="s">
        <v>355</v>
      </c>
      <c r="B397" s="22" t="s">
        <v>44</v>
      </c>
      <c r="C397" s="20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22" t="s">
        <v>356</v>
      </c>
      <c r="B398" s="22" t="s">
        <v>44</v>
      </c>
      <c r="C398" s="29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22" t="s">
        <v>357</v>
      </c>
      <c r="B399" s="22" t="s">
        <v>44</v>
      </c>
      <c r="C399" s="20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22" t="s">
        <v>358</v>
      </c>
      <c r="B400" s="22" t="s">
        <v>44</v>
      </c>
      <c r="C400" s="29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22" t="s">
        <v>359</v>
      </c>
      <c r="B401" s="22" t="s">
        <v>44</v>
      </c>
      <c r="C401" s="29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39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39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35" t="s">
        <v>360</v>
      </c>
      <c r="B404" s="36"/>
      <c r="C404" s="41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22" t="s">
        <v>361</v>
      </c>
      <c r="B405" s="40" t="s">
        <v>44</v>
      </c>
      <c r="C405" s="38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22" t="s">
        <v>362</v>
      </c>
      <c r="B406" s="22" t="s">
        <v>44</v>
      </c>
      <c r="C406" s="20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22" t="s">
        <v>363</v>
      </c>
      <c r="B407" s="22" t="s">
        <v>44</v>
      </c>
      <c r="C407" s="20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22" t="s">
        <v>364</v>
      </c>
      <c r="B408" s="22" t="s">
        <v>44</v>
      </c>
      <c r="C408" s="29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22" t="s">
        <v>365</v>
      </c>
      <c r="B409" s="22" t="s">
        <v>44</v>
      </c>
      <c r="C409" s="20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22" t="s">
        <v>366</v>
      </c>
      <c r="B410" s="22" t="s">
        <v>44</v>
      </c>
      <c r="C410" s="29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22" t="s">
        <v>367</v>
      </c>
      <c r="B411" s="22" t="s">
        <v>44</v>
      </c>
      <c r="C411" s="29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39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39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35" t="s">
        <v>368</v>
      </c>
      <c r="B414" s="36"/>
      <c r="C414" s="41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22" t="s">
        <v>369</v>
      </c>
      <c r="B415" s="40" t="s">
        <v>44</v>
      </c>
      <c r="C415" s="38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22" t="s">
        <v>370</v>
      </c>
      <c r="B416" s="22" t="s">
        <v>44</v>
      </c>
      <c r="C416" s="20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22" t="s">
        <v>371</v>
      </c>
      <c r="B417" s="22" t="s">
        <v>44</v>
      </c>
      <c r="C417" s="20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22" t="s">
        <v>372</v>
      </c>
      <c r="B418" s="22" t="s">
        <v>44</v>
      </c>
      <c r="C418" s="29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22" t="s">
        <v>373</v>
      </c>
      <c r="B419" s="22" t="s">
        <v>44</v>
      </c>
      <c r="C419" s="20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22" t="s">
        <v>374</v>
      </c>
      <c r="B420" s="22" t="s">
        <v>44</v>
      </c>
      <c r="C420" s="29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22" t="s">
        <v>375</v>
      </c>
      <c r="B421" s="22" t="s">
        <v>44</v>
      </c>
      <c r="C421" s="29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39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39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35" t="s">
        <v>376</v>
      </c>
      <c r="B424" s="36"/>
      <c r="C424" s="41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22" t="s">
        <v>377</v>
      </c>
      <c r="B425" s="40" t="s">
        <v>44</v>
      </c>
      <c r="C425" s="38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22" t="s">
        <v>378</v>
      </c>
      <c r="B426" s="22" t="s">
        <v>44</v>
      </c>
      <c r="C426" s="20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22" t="s">
        <v>379</v>
      </c>
      <c r="B427" s="22" t="s">
        <v>44</v>
      </c>
      <c r="C427" s="20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22" t="s">
        <v>380</v>
      </c>
      <c r="B428" s="22" t="s">
        <v>44</v>
      </c>
      <c r="C428" s="29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22" t="s">
        <v>381</v>
      </c>
      <c r="B429" s="22" t="s">
        <v>44</v>
      </c>
      <c r="C429" s="20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22" t="s">
        <v>382</v>
      </c>
      <c r="B430" s="22" t="s">
        <v>44</v>
      </c>
      <c r="C430" s="29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22" t="s">
        <v>383</v>
      </c>
      <c r="B431" s="22" t="s">
        <v>44</v>
      </c>
      <c r="C431" s="29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39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39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35" t="s">
        <v>384</v>
      </c>
      <c r="B434" s="36"/>
      <c r="C434" s="41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22" t="s">
        <v>385</v>
      </c>
      <c r="B435" s="40" t="s">
        <v>44</v>
      </c>
      <c r="C435" s="38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22" t="s">
        <v>386</v>
      </c>
      <c r="B436" s="22" t="s">
        <v>44</v>
      </c>
      <c r="C436" s="20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22" t="s">
        <v>387</v>
      </c>
      <c r="B437" s="22" t="s">
        <v>44</v>
      </c>
      <c r="C437" s="20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22" t="s">
        <v>388</v>
      </c>
      <c r="B438" s="22" t="s">
        <v>44</v>
      </c>
      <c r="C438" s="29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22" t="s">
        <v>389</v>
      </c>
      <c r="B439" s="22" t="s">
        <v>44</v>
      </c>
      <c r="C439" s="20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22" t="s">
        <v>390</v>
      </c>
      <c r="B440" s="22" t="s">
        <v>44</v>
      </c>
      <c r="C440" s="29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22" t="s">
        <v>391</v>
      </c>
      <c r="B441" s="22" t="s">
        <v>44</v>
      </c>
      <c r="C441" s="29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39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39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35" t="s">
        <v>392</v>
      </c>
      <c r="B444" s="36"/>
      <c r="C444" s="41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22" t="s">
        <v>393</v>
      </c>
      <c r="B445" s="40" t="s">
        <v>44</v>
      </c>
      <c r="C445" s="38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22" t="s">
        <v>394</v>
      </c>
      <c r="B446" s="22" t="s">
        <v>44</v>
      </c>
      <c r="C446" s="20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22" t="s">
        <v>395</v>
      </c>
      <c r="B447" s="22" t="s">
        <v>44</v>
      </c>
      <c r="C447" s="20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22" t="s">
        <v>396</v>
      </c>
      <c r="B448" s="22" t="s">
        <v>44</v>
      </c>
      <c r="C448" s="29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22" t="s">
        <v>397</v>
      </c>
      <c r="B449" s="22" t="s">
        <v>44</v>
      </c>
      <c r="C449" s="20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22" t="s">
        <v>398</v>
      </c>
      <c r="B450" s="22" t="s">
        <v>44</v>
      </c>
      <c r="C450" s="29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22" t="s">
        <v>399</v>
      </c>
      <c r="B451" s="22" t="s">
        <v>44</v>
      </c>
      <c r="C451" s="29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39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39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35" t="s">
        <v>400</v>
      </c>
      <c r="B454" s="36"/>
      <c r="C454" s="41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22" t="s">
        <v>401</v>
      </c>
      <c r="B455" s="40" t="s">
        <v>44</v>
      </c>
      <c r="C455" s="38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22" t="s">
        <v>402</v>
      </c>
      <c r="B456" s="22" t="s">
        <v>44</v>
      </c>
      <c r="C456" s="20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22" t="s">
        <v>403</v>
      </c>
      <c r="B457" s="22" t="s">
        <v>44</v>
      </c>
      <c r="C457" s="20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22" t="s">
        <v>404</v>
      </c>
      <c r="B458" s="22" t="s">
        <v>44</v>
      </c>
      <c r="C458" s="29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22" t="s">
        <v>405</v>
      </c>
      <c r="B459" s="22" t="s">
        <v>44</v>
      </c>
      <c r="C459" s="20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22" t="s">
        <v>406</v>
      </c>
      <c r="B460" s="22" t="s">
        <v>44</v>
      </c>
      <c r="C460" s="29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22" t="s">
        <v>407</v>
      </c>
      <c r="B461" s="22" t="s">
        <v>44</v>
      </c>
      <c r="C461" s="29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39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39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35" t="s">
        <v>408</v>
      </c>
      <c r="B464" s="36"/>
      <c r="C464" s="41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22" t="s">
        <v>409</v>
      </c>
      <c r="B465" s="40" t="s">
        <v>44</v>
      </c>
      <c r="C465" s="38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22" t="s">
        <v>410</v>
      </c>
      <c r="B466" s="22" t="s">
        <v>44</v>
      </c>
      <c r="C466" s="20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22" t="s">
        <v>411</v>
      </c>
      <c r="B467" s="22" t="s">
        <v>44</v>
      </c>
      <c r="C467" s="20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22" t="s">
        <v>412</v>
      </c>
      <c r="B468" s="22" t="s">
        <v>44</v>
      </c>
      <c r="C468" s="29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22" t="s">
        <v>413</v>
      </c>
      <c r="B469" s="22" t="s">
        <v>44</v>
      </c>
      <c r="C469" s="20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22" t="s">
        <v>414</v>
      </c>
      <c r="B470" s="22" t="s">
        <v>44</v>
      </c>
      <c r="C470" s="29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22" t="s">
        <v>415</v>
      </c>
      <c r="B471" s="22" t="s">
        <v>44</v>
      </c>
      <c r="C471" s="29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39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39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35" t="s">
        <v>416</v>
      </c>
      <c r="B474" s="36"/>
      <c r="C474" s="41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22" t="s">
        <v>417</v>
      </c>
      <c r="B475" s="40" t="s">
        <v>44</v>
      </c>
      <c r="C475" s="38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22" t="s">
        <v>418</v>
      </c>
      <c r="B476" s="22" t="s">
        <v>44</v>
      </c>
      <c r="C476" s="20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22" t="s">
        <v>419</v>
      </c>
      <c r="B477" s="22" t="s">
        <v>44</v>
      </c>
      <c r="C477" s="20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22" t="s">
        <v>420</v>
      </c>
      <c r="B478" s="22" t="s">
        <v>44</v>
      </c>
      <c r="C478" s="29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22" t="s">
        <v>421</v>
      </c>
      <c r="B479" s="22" t="s">
        <v>44</v>
      </c>
      <c r="C479" s="20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22" t="s">
        <v>422</v>
      </c>
      <c r="B480" s="22" t="s">
        <v>44</v>
      </c>
      <c r="C480" s="29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22" t="s">
        <v>423</v>
      </c>
      <c r="B481" s="22" t="s">
        <v>44</v>
      </c>
      <c r="C481" s="29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39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39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35" t="s">
        <v>424</v>
      </c>
      <c r="B484" s="36"/>
      <c r="C484" s="41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22" t="s">
        <v>425</v>
      </c>
      <c r="B485" s="40" t="s">
        <v>44</v>
      </c>
      <c r="C485" s="38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22" t="s">
        <v>426</v>
      </c>
      <c r="B486" s="22" t="s">
        <v>44</v>
      </c>
      <c r="C486" s="20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22" t="s">
        <v>427</v>
      </c>
      <c r="B487" s="22" t="s">
        <v>44</v>
      </c>
      <c r="C487" s="20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22" t="s">
        <v>428</v>
      </c>
      <c r="B488" s="22" t="s">
        <v>44</v>
      </c>
      <c r="C488" s="29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22" t="s">
        <v>429</v>
      </c>
      <c r="B489" s="22" t="s">
        <v>44</v>
      </c>
      <c r="C489" s="20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22" t="s">
        <v>430</v>
      </c>
      <c r="B490" s="22" t="s">
        <v>44</v>
      </c>
      <c r="C490" s="29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22" t="s">
        <v>431</v>
      </c>
      <c r="B491" s="22" t="s">
        <v>44</v>
      </c>
      <c r="C491" s="29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39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39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35" t="s">
        <v>432</v>
      </c>
      <c r="B494" s="36"/>
      <c r="C494" s="41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22" t="s">
        <v>433</v>
      </c>
      <c r="B495" s="40" t="s">
        <v>44</v>
      </c>
      <c r="C495" s="38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22" t="s">
        <v>434</v>
      </c>
      <c r="B496" s="22" t="s">
        <v>44</v>
      </c>
      <c r="C496" s="20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22" t="s">
        <v>435</v>
      </c>
      <c r="B497" s="22" t="s">
        <v>44</v>
      </c>
      <c r="C497" s="20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22" t="s">
        <v>436</v>
      </c>
      <c r="B498" s="22" t="s">
        <v>44</v>
      </c>
      <c r="C498" s="29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22" t="s">
        <v>437</v>
      </c>
      <c r="B499" s="22" t="s">
        <v>44</v>
      </c>
      <c r="C499" s="20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22" t="s">
        <v>438</v>
      </c>
      <c r="B500" s="22" t="s">
        <v>44</v>
      </c>
      <c r="C500" s="29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22" t="s">
        <v>439</v>
      </c>
      <c r="B501" s="22" t="s">
        <v>44</v>
      </c>
      <c r="C501" s="29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39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39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35" t="s">
        <v>440</v>
      </c>
      <c r="B504" s="36"/>
      <c r="C504" s="41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22" t="s">
        <v>441</v>
      </c>
      <c r="B505" s="40" t="s">
        <v>44</v>
      </c>
      <c r="C505" s="38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22" t="s">
        <v>442</v>
      </c>
      <c r="B506" s="22" t="s">
        <v>44</v>
      </c>
      <c r="C506" s="20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22" t="s">
        <v>443</v>
      </c>
      <c r="B507" s="22" t="s">
        <v>44</v>
      </c>
      <c r="C507" s="20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22" t="s">
        <v>444</v>
      </c>
      <c r="B508" s="22" t="s">
        <v>44</v>
      </c>
      <c r="C508" s="29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22" t="s">
        <v>445</v>
      </c>
      <c r="B509" s="22" t="s">
        <v>44</v>
      </c>
      <c r="C509" s="20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22" t="s">
        <v>446</v>
      </c>
      <c r="B510" s="22" t="s">
        <v>44</v>
      </c>
      <c r="C510" s="29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22" t="s">
        <v>447</v>
      </c>
      <c r="B511" s="22" t="s">
        <v>44</v>
      </c>
      <c r="C511" s="29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39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39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35" t="s">
        <v>448</v>
      </c>
      <c r="B514" s="36"/>
      <c r="C514" s="41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22" t="s">
        <v>449</v>
      </c>
      <c r="B515" s="40" t="s">
        <v>44</v>
      </c>
      <c r="C515" s="38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22" t="s">
        <v>450</v>
      </c>
      <c r="B516" s="22" t="s">
        <v>44</v>
      </c>
      <c r="C516" s="20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22" t="s">
        <v>451</v>
      </c>
      <c r="B517" s="22" t="s">
        <v>44</v>
      </c>
      <c r="C517" s="20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22" t="s">
        <v>452</v>
      </c>
      <c r="B518" s="22" t="s">
        <v>44</v>
      </c>
      <c r="C518" s="29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22" t="s">
        <v>453</v>
      </c>
      <c r="B519" s="22" t="s">
        <v>44</v>
      </c>
      <c r="C519" s="20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22" t="s">
        <v>454</v>
      </c>
      <c r="B520" s="22" t="s">
        <v>44</v>
      </c>
      <c r="C520" s="29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22" t="s">
        <v>455</v>
      </c>
      <c r="B521" s="22" t="s">
        <v>44</v>
      </c>
      <c r="C521" s="29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39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</sheetData>
  <mergeCells count="3">
    <mergeCell ref="A1:A2"/>
    <mergeCell ref="B1:B2"/>
    <mergeCell ref="C1:C2"/>
  </mergeCells>
  <dataValidations>
    <dataValidation type="list" allowBlank="1" sqref="B5:B11 B15:B21 B25:B31 B35:B41 B45:B51 B55:B61 B65:B71 B75:B81 B85:B91 B95:B101 B105:B111 B115:B121 B125:B131 B135:B141 B145:B151 B155:B161 B165:B171 B175:B181 B185:B191 B195:B201 B205:B211 B215:B221 B225:B231 B235:B241 B245:B251 B255:B261 B265:B271 B275:B281 B285:B291 B295:B301 B305:B311 B315:B321 B325:B331 B335:B341 B345:B351 B355:B361 B365:B371 B375:B381 B385:B391 B395:B401 B405:B411 B415:B421 B425:B431 B435:B441 B445:B451 B455:B461 B465:B471 B475:B481 B485:B491 B495:B501 B505:B511 B515:B521">
      <formula1>"Click to select,Free Writing,Task1,Task2,Task 1 and 2"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38"/>
    <col customWidth="1" min="2" max="2" width="19.88"/>
    <col customWidth="1" min="3" max="3" width="10.88"/>
    <col customWidth="1" min="4" max="4" width="15.0"/>
    <col customWidth="1" min="5" max="5" width="15.63"/>
  </cols>
  <sheetData>
    <row r="1">
      <c r="A1" s="42" t="s">
        <v>459</v>
      </c>
      <c r="B1" s="33" t="s">
        <v>460</v>
      </c>
      <c r="C1" s="33" t="s">
        <v>42</v>
      </c>
      <c r="D1" s="3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B2" s="21"/>
      <c r="C2" s="21"/>
      <c r="D2" s="34">
        <f>SUM(C4:C521)/60</f>
        <v>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35" t="s">
        <v>6</v>
      </c>
      <c r="B4" s="36"/>
      <c r="C4" s="41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22" t="s">
        <v>43</v>
      </c>
      <c r="B5" s="22" t="s">
        <v>44</v>
      </c>
      <c r="C5" s="38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22" t="s">
        <v>45</v>
      </c>
      <c r="B6" s="22" t="s">
        <v>44</v>
      </c>
      <c r="C6" s="20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22" t="s">
        <v>46</v>
      </c>
      <c r="B7" s="22" t="s">
        <v>44</v>
      </c>
      <c r="C7" s="20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22" t="s">
        <v>47</v>
      </c>
      <c r="B8" s="22" t="s">
        <v>44</v>
      </c>
      <c r="C8" s="29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22" t="s">
        <v>48</v>
      </c>
      <c r="B9" s="22" t="s">
        <v>44</v>
      </c>
      <c r="C9" s="29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22" t="s">
        <v>49</v>
      </c>
      <c r="B10" s="22" t="s">
        <v>44</v>
      </c>
      <c r="C10" s="29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22" t="s">
        <v>50</v>
      </c>
      <c r="B11" s="22" t="s">
        <v>44</v>
      </c>
      <c r="C11" s="29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5"/>
      <c r="B12" s="5"/>
      <c r="C12" s="39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5"/>
      <c r="B13" s="5"/>
      <c r="C13" s="39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35" t="s">
        <v>11</v>
      </c>
      <c r="B14" s="36"/>
      <c r="C14" s="41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22" t="s">
        <v>51</v>
      </c>
      <c r="B15" s="40" t="s">
        <v>44</v>
      </c>
      <c r="C15" s="38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22" t="s">
        <v>52</v>
      </c>
      <c r="B16" s="22" t="s">
        <v>44</v>
      </c>
      <c r="C16" s="20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22" t="s">
        <v>53</v>
      </c>
      <c r="B17" s="22" t="s">
        <v>44</v>
      </c>
      <c r="C17" s="20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22" t="s">
        <v>54</v>
      </c>
      <c r="B18" s="22" t="s">
        <v>44</v>
      </c>
      <c r="C18" s="29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22" t="s">
        <v>55</v>
      </c>
      <c r="B19" s="22" t="s">
        <v>44</v>
      </c>
      <c r="C19" s="29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22" t="s">
        <v>56</v>
      </c>
      <c r="B20" s="22" t="s">
        <v>44</v>
      </c>
      <c r="C20" s="29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22" t="s">
        <v>57</v>
      </c>
      <c r="B21" s="22" t="s">
        <v>44</v>
      </c>
      <c r="C21" s="29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5"/>
      <c r="C22" s="39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39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35" t="s">
        <v>14</v>
      </c>
      <c r="B24" s="36"/>
      <c r="C24" s="41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22" t="s">
        <v>58</v>
      </c>
      <c r="B25" s="40" t="s">
        <v>44</v>
      </c>
      <c r="C25" s="38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22" t="s">
        <v>59</v>
      </c>
      <c r="B26" s="22" t="s">
        <v>44</v>
      </c>
      <c r="C26" s="20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22" t="s">
        <v>60</v>
      </c>
      <c r="B27" s="22" t="s">
        <v>44</v>
      </c>
      <c r="C27" s="20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22" t="s">
        <v>61</v>
      </c>
      <c r="B28" s="22" t="s">
        <v>44</v>
      </c>
      <c r="C28" s="29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22" t="s">
        <v>62</v>
      </c>
      <c r="B29" s="22" t="s">
        <v>44</v>
      </c>
      <c r="C29" s="29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22" t="s">
        <v>63</v>
      </c>
      <c r="B30" s="22" t="s">
        <v>44</v>
      </c>
      <c r="C30" s="29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22" t="s">
        <v>64</v>
      </c>
      <c r="B31" s="22" t="s">
        <v>44</v>
      </c>
      <c r="C31" s="29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39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39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35" t="s">
        <v>17</v>
      </c>
      <c r="B34" s="36"/>
      <c r="C34" s="41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22" t="s">
        <v>65</v>
      </c>
      <c r="B35" s="40" t="s">
        <v>44</v>
      </c>
      <c r="C35" s="38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22" t="s">
        <v>66</v>
      </c>
      <c r="B36" s="22" t="s">
        <v>44</v>
      </c>
      <c r="C36" s="20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22" t="s">
        <v>67</v>
      </c>
      <c r="B37" s="22" t="s">
        <v>44</v>
      </c>
      <c r="C37" s="20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22" t="s">
        <v>68</v>
      </c>
      <c r="B38" s="22" t="s">
        <v>44</v>
      </c>
      <c r="C38" s="29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22" t="s">
        <v>69</v>
      </c>
      <c r="B39" s="22" t="s">
        <v>44</v>
      </c>
      <c r="C39" s="29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22" t="s">
        <v>70</v>
      </c>
      <c r="B40" s="22" t="s">
        <v>44</v>
      </c>
      <c r="C40" s="29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22" t="s">
        <v>71</v>
      </c>
      <c r="B41" s="22" t="s">
        <v>44</v>
      </c>
      <c r="C41" s="29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39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39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35" t="s">
        <v>72</v>
      </c>
      <c r="B44" s="36"/>
      <c r="C44" s="41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22" t="s">
        <v>73</v>
      </c>
      <c r="B45" s="40" t="s">
        <v>44</v>
      </c>
      <c r="C45" s="38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22" t="s">
        <v>74</v>
      </c>
      <c r="B46" s="22" t="s">
        <v>44</v>
      </c>
      <c r="C46" s="20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22" t="s">
        <v>75</v>
      </c>
      <c r="B47" s="22" t="s">
        <v>44</v>
      </c>
      <c r="C47" s="20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22" t="s">
        <v>76</v>
      </c>
      <c r="B48" s="22" t="s">
        <v>44</v>
      </c>
      <c r="C48" s="29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22" t="s">
        <v>77</v>
      </c>
      <c r="B49" s="22" t="s">
        <v>44</v>
      </c>
      <c r="C49" s="29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22" t="s">
        <v>78</v>
      </c>
      <c r="B50" s="22" t="s">
        <v>44</v>
      </c>
      <c r="C50" s="29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22" t="s">
        <v>79</v>
      </c>
      <c r="B51" s="22" t="s">
        <v>44</v>
      </c>
      <c r="C51" s="29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39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39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35" t="s">
        <v>80</v>
      </c>
      <c r="B54" s="36"/>
      <c r="C54" s="41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22" t="s">
        <v>81</v>
      </c>
      <c r="B55" s="40" t="s">
        <v>44</v>
      </c>
      <c r="C55" s="38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22" t="s">
        <v>82</v>
      </c>
      <c r="B56" s="22" t="s">
        <v>44</v>
      </c>
      <c r="C56" s="20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22" t="s">
        <v>83</v>
      </c>
      <c r="B57" s="22" t="s">
        <v>44</v>
      </c>
      <c r="C57" s="20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22" t="s">
        <v>84</v>
      </c>
      <c r="B58" s="22" t="s">
        <v>44</v>
      </c>
      <c r="C58" s="29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22" t="s">
        <v>85</v>
      </c>
      <c r="B59" s="22" t="s">
        <v>44</v>
      </c>
      <c r="C59" s="29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22" t="s">
        <v>86</v>
      </c>
      <c r="B60" s="22" t="s">
        <v>44</v>
      </c>
      <c r="C60" s="29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22" t="s">
        <v>87</v>
      </c>
      <c r="B61" s="22" t="s">
        <v>44</v>
      </c>
      <c r="C61" s="29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39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39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35" t="s">
        <v>88</v>
      </c>
      <c r="B64" s="36"/>
      <c r="C64" s="41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22" t="s">
        <v>89</v>
      </c>
      <c r="B65" s="40" t="s">
        <v>44</v>
      </c>
      <c r="C65" s="38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22" t="s">
        <v>90</v>
      </c>
      <c r="B66" s="22" t="s">
        <v>44</v>
      </c>
      <c r="C66" s="20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22" t="s">
        <v>91</v>
      </c>
      <c r="B67" s="22" t="s">
        <v>44</v>
      </c>
      <c r="C67" s="20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22" t="s">
        <v>92</v>
      </c>
      <c r="B68" s="22" t="s">
        <v>44</v>
      </c>
      <c r="C68" s="29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22" t="s">
        <v>93</v>
      </c>
      <c r="B69" s="22" t="s">
        <v>44</v>
      </c>
      <c r="C69" s="29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22" t="s">
        <v>94</v>
      </c>
      <c r="B70" s="22" t="s">
        <v>44</v>
      </c>
      <c r="C70" s="29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22" t="s">
        <v>95</v>
      </c>
      <c r="B71" s="22" t="s">
        <v>44</v>
      </c>
      <c r="C71" s="29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39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39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35" t="s">
        <v>96</v>
      </c>
      <c r="B74" s="36"/>
      <c r="C74" s="41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22" t="s">
        <v>97</v>
      </c>
      <c r="B75" s="40" t="s">
        <v>44</v>
      </c>
      <c r="C75" s="38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22" t="s">
        <v>98</v>
      </c>
      <c r="B76" s="22" t="s">
        <v>44</v>
      </c>
      <c r="C76" s="20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22" t="s">
        <v>99</v>
      </c>
      <c r="B77" s="22" t="s">
        <v>44</v>
      </c>
      <c r="C77" s="20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22" t="s">
        <v>100</v>
      </c>
      <c r="B78" s="22" t="s">
        <v>44</v>
      </c>
      <c r="C78" s="29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22" t="s">
        <v>101</v>
      </c>
      <c r="B79" s="22" t="s">
        <v>44</v>
      </c>
      <c r="C79" s="29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22" t="s">
        <v>102</v>
      </c>
      <c r="B80" s="22" t="s">
        <v>44</v>
      </c>
      <c r="C80" s="29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22" t="s">
        <v>103</v>
      </c>
      <c r="B81" s="22" t="s">
        <v>44</v>
      </c>
      <c r="C81" s="29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39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39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35" t="s">
        <v>104</v>
      </c>
      <c r="B84" s="36"/>
      <c r="C84" s="41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22" t="s">
        <v>105</v>
      </c>
      <c r="B85" s="40" t="s">
        <v>44</v>
      </c>
      <c r="C85" s="38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22" t="s">
        <v>106</v>
      </c>
      <c r="B86" s="22" t="s">
        <v>44</v>
      </c>
      <c r="C86" s="20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22" t="s">
        <v>107</v>
      </c>
      <c r="B87" s="22" t="s">
        <v>44</v>
      </c>
      <c r="C87" s="20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22" t="s">
        <v>108</v>
      </c>
      <c r="B88" s="22" t="s">
        <v>44</v>
      </c>
      <c r="C88" s="29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22" t="s">
        <v>109</v>
      </c>
      <c r="B89" s="22" t="s">
        <v>44</v>
      </c>
      <c r="C89" s="29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22" t="s">
        <v>110</v>
      </c>
      <c r="B90" s="22" t="s">
        <v>44</v>
      </c>
      <c r="C90" s="29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22" t="s">
        <v>111</v>
      </c>
      <c r="B91" s="22" t="s">
        <v>44</v>
      </c>
      <c r="C91" s="29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39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39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35" t="s">
        <v>112</v>
      </c>
      <c r="B94" s="36"/>
      <c r="C94" s="41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22" t="s">
        <v>113</v>
      </c>
      <c r="B95" s="40" t="s">
        <v>44</v>
      </c>
      <c r="C95" s="38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22" t="s">
        <v>114</v>
      </c>
      <c r="B96" s="22" t="s">
        <v>44</v>
      </c>
      <c r="C96" s="20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22" t="s">
        <v>115</v>
      </c>
      <c r="B97" s="22" t="s">
        <v>44</v>
      </c>
      <c r="C97" s="20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22" t="s">
        <v>116</v>
      </c>
      <c r="B98" s="22" t="s">
        <v>44</v>
      </c>
      <c r="C98" s="29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22" t="s">
        <v>117</v>
      </c>
      <c r="B99" s="22" t="s">
        <v>44</v>
      </c>
      <c r="C99" s="29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22" t="s">
        <v>118</v>
      </c>
      <c r="B100" s="22" t="s">
        <v>44</v>
      </c>
      <c r="C100" s="29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22" t="s">
        <v>119</v>
      </c>
      <c r="B101" s="22" t="s">
        <v>44</v>
      </c>
      <c r="C101" s="29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39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39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35" t="s">
        <v>120</v>
      </c>
      <c r="B104" s="36"/>
      <c r="C104" s="41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22" t="s">
        <v>121</v>
      </c>
      <c r="B105" s="40" t="s">
        <v>44</v>
      </c>
      <c r="C105" s="38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22" t="s">
        <v>122</v>
      </c>
      <c r="B106" s="22" t="s">
        <v>44</v>
      </c>
      <c r="C106" s="20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22" t="s">
        <v>123</v>
      </c>
      <c r="B107" s="22" t="s">
        <v>44</v>
      </c>
      <c r="C107" s="20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22" t="s">
        <v>124</v>
      </c>
      <c r="B108" s="22" t="s">
        <v>44</v>
      </c>
      <c r="C108" s="29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22" t="s">
        <v>125</v>
      </c>
      <c r="B109" s="22" t="s">
        <v>44</v>
      </c>
      <c r="C109" s="29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22" t="s">
        <v>126</v>
      </c>
      <c r="B110" s="22" t="s">
        <v>44</v>
      </c>
      <c r="C110" s="29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22" t="s">
        <v>127</v>
      </c>
      <c r="B111" s="22" t="s">
        <v>44</v>
      </c>
      <c r="C111" s="29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39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39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35" t="s">
        <v>128</v>
      </c>
      <c r="B114" s="36"/>
      <c r="C114" s="41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22" t="s">
        <v>129</v>
      </c>
      <c r="B115" s="40" t="s">
        <v>44</v>
      </c>
      <c r="C115" s="38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22" t="s">
        <v>130</v>
      </c>
      <c r="B116" s="22" t="s">
        <v>44</v>
      </c>
      <c r="C116" s="20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22" t="s">
        <v>131</v>
      </c>
      <c r="B117" s="22" t="s">
        <v>44</v>
      </c>
      <c r="C117" s="20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22" t="s">
        <v>132</v>
      </c>
      <c r="B118" s="22" t="s">
        <v>44</v>
      </c>
      <c r="C118" s="29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22" t="s">
        <v>133</v>
      </c>
      <c r="B119" s="22" t="s">
        <v>44</v>
      </c>
      <c r="C119" s="29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22" t="s">
        <v>134</v>
      </c>
      <c r="B120" s="22" t="s">
        <v>44</v>
      </c>
      <c r="C120" s="29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22" t="s">
        <v>135</v>
      </c>
      <c r="B121" s="22" t="s">
        <v>44</v>
      </c>
      <c r="C121" s="29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39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39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35" t="s">
        <v>136</v>
      </c>
      <c r="B124" s="36"/>
      <c r="C124" s="41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22" t="s">
        <v>137</v>
      </c>
      <c r="B125" s="40" t="s">
        <v>44</v>
      </c>
      <c r="C125" s="38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22" t="s">
        <v>138</v>
      </c>
      <c r="B126" s="22" t="s">
        <v>44</v>
      </c>
      <c r="C126" s="20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22" t="s">
        <v>139</v>
      </c>
      <c r="B127" s="22" t="s">
        <v>44</v>
      </c>
      <c r="C127" s="20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22" t="s">
        <v>140</v>
      </c>
      <c r="B128" s="22" t="s">
        <v>44</v>
      </c>
      <c r="C128" s="29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22" t="s">
        <v>141</v>
      </c>
      <c r="B129" s="22" t="s">
        <v>44</v>
      </c>
      <c r="C129" s="29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22" t="s">
        <v>142</v>
      </c>
      <c r="B130" s="22" t="s">
        <v>44</v>
      </c>
      <c r="C130" s="29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22" t="s">
        <v>143</v>
      </c>
      <c r="B131" s="22" t="s">
        <v>44</v>
      </c>
      <c r="C131" s="29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39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39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35" t="s">
        <v>144</v>
      </c>
      <c r="B134" s="36"/>
      <c r="C134" s="41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22" t="s">
        <v>145</v>
      </c>
      <c r="B135" s="40" t="s">
        <v>44</v>
      </c>
      <c r="C135" s="38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22" t="s">
        <v>146</v>
      </c>
      <c r="B136" s="22" t="s">
        <v>44</v>
      </c>
      <c r="C136" s="20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22" t="s">
        <v>147</v>
      </c>
      <c r="B137" s="22" t="s">
        <v>44</v>
      </c>
      <c r="C137" s="20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22" t="s">
        <v>148</v>
      </c>
      <c r="B138" s="22" t="s">
        <v>44</v>
      </c>
      <c r="C138" s="29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22" t="s">
        <v>149</v>
      </c>
      <c r="B139" s="22" t="s">
        <v>44</v>
      </c>
      <c r="C139" s="29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22" t="s">
        <v>150</v>
      </c>
      <c r="B140" s="22" t="s">
        <v>44</v>
      </c>
      <c r="C140" s="29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22" t="s">
        <v>151</v>
      </c>
      <c r="B141" s="22" t="s">
        <v>44</v>
      </c>
      <c r="C141" s="29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39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39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35" t="s">
        <v>152</v>
      </c>
      <c r="B144" s="36"/>
      <c r="C144" s="41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22" t="s">
        <v>153</v>
      </c>
      <c r="B145" s="40" t="s">
        <v>44</v>
      </c>
      <c r="C145" s="38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22" t="s">
        <v>154</v>
      </c>
      <c r="B146" s="22" t="s">
        <v>44</v>
      </c>
      <c r="C146" s="20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22" t="s">
        <v>155</v>
      </c>
      <c r="B147" s="22" t="s">
        <v>44</v>
      </c>
      <c r="C147" s="20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22" t="s">
        <v>156</v>
      </c>
      <c r="B148" s="22" t="s">
        <v>44</v>
      </c>
      <c r="C148" s="29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22" t="s">
        <v>157</v>
      </c>
      <c r="B149" s="22" t="s">
        <v>44</v>
      </c>
      <c r="C149" s="29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22" t="s">
        <v>158</v>
      </c>
      <c r="B150" s="22" t="s">
        <v>44</v>
      </c>
      <c r="C150" s="29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22" t="s">
        <v>159</v>
      </c>
      <c r="B151" s="22" t="s">
        <v>44</v>
      </c>
      <c r="C151" s="29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39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39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35" t="s">
        <v>160</v>
      </c>
      <c r="B154" s="36"/>
      <c r="C154" s="41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22" t="s">
        <v>161</v>
      </c>
      <c r="B155" s="40" t="s">
        <v>44</v>
      </c>
      <c r="C155" s="38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22" t="s">
        <v>162</v>
      </c>
      <c r="B156" s="22" t="s">
        <v>44</v>
      </c>
      <c r="C156" s="20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22" t="s">
        <v>163</v>
      </c>
      <c r="B157" s="22" t="s">
        <v>44</v>
      </c>
      <c r="C157" s="20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22" t="s">
        <v>164</v>
      </c>
      <c r="B158" s="22" t="s">
        <v>44</v>
      </c>
      <c r="C158" s="29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22" t="s">
        <v>165</v>
      </c>
      <c r="B159" s="22" t="s">
        <v>44</v>
      </c>
      <c r="C159" s="29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22" t="s">
        <v>166</v>
      </c>
      <c r="B160" s="22" t="s">
        <v>44</v>
      </c>
      <c r="C160" s="29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22" t="s">
        <v>167</v>
      </c>
      <c r="B161" s="22" t="s">
        <v>44</v>
      </c>
      <c r="C161" s="29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39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39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35" t="s">
        <v>168</v>
      </c>
      <c r="B164" s="36"/>
      <c r="C164" s="41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22" t="s">
        <v>169</v>
      </c>
      <c r="B165" s="40" t="s">
        <v>44</v>
      </c>
      <c r="C165" s="38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22" t="s">
        <v>170</v>
      </c>
      <c r="B166" s="22" t="s">
        <v>44</v>
      </c>
      <c r="C166" s="20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22" t="s">
        <v>171</v>
      </c>
      <c r="B167" s="22" t="s">
        <v>44</v>
      </c>
      <c r="C167" s="20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22" t="s">
        <v>172</v>
      </c>
      <c r="B168" s="22" t="s">
        <v>44</v>
      </c>
      <c r="C168" s="29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22" t="s">
        <v>173</v>
      </c>
      <c r="B169" s="22" t="s">
        <v>44</v>
      </c>
      <c r="C169" s="29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22" t="s">
        <v>174</v>
      </c>
      <c r="B170" s="22" t="s">
        <v>44</v>
      </c>
      <c r="C170" s="29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22" t="s">
        <v>175</v>
      </c>
      <c r="B171" s="22" t="s">
        <v>44</v>
      </c>
      <c r="C171" s="29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39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39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35" t="s">
        <v>176</v>
      </c>
      <c r="B174" s="36"/>
      <c r="C174" s="41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22" t="s">
        <v>177</v>
      </c>
      <c r="B175" s="40" t="s">
        <v>44</v>
      </c>
      <c r="C175" s="38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22" t="s">
        <v>178</v>
      </c>
      <c r="B176" s="22" t="s">
        <v>44</v>
      </c>
      <c r="C176" s="20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22" t="s">
        <v>179</v>
      </c>
      <c r="B177" s="22" t="s">
        <v>44</v>
      </c>
      <c r="C177" s="20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22" t="s">
        <v>180</v>
      </c>
      <c r="B178" s="22" t="s">
        <v>44</v>
      </c>
      <c r="C178" s="29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22" t="s">
        <v>181</v>
      </c>
      <c r="B179" s="22" t="s">
        <v>44</v>
      </c>
      <c r="C179" s="29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22" t="s">
        <v>182</v>
      </c>
      <c r="B180" s="22" t="s">
        <v>44</v>
      </c>
      <c r="C180" s="29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22" t="s">
        <v>183</v>
      </c>
      <c r="B181" s="22" t="s">
        <v>44</v>
      </c>
      <c r="C181" s="29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39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39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35" t="s">
        <v>184</v>
      </c>
      <c r="B184" s="36"/>
      <c r="C184" s="41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22" t="s">
        <v>185</v>
      </c>
      <c r="B185" s="40" t="s">
        <v>44</v>
      </c>
      <c r="C185" s="38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22" t="s">
        <v>186</v>
      </c>
      <c r="B186" s="22" t="s">
        <v>44</v>
      </c>
      <c r="C186" s="20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22" t="s">
        <v>187</v>
      </c>
      <c r="B187" s="22" t="s">
        <v>44</v>
      </c>
      <c r="C187" s="20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22" t="s">
        <v>188</v>
      </c>
      <c r="B188" s="22" t="s">
        <v>44</v>
      </c>
      <c r="C188" s="29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22" t="s">
        <v>189</v>
      </c>
      <c r="B189" s="22" t="s">
        <v>44</v>
      </c>
      <c r="C189" s="29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22" t="s">
        <v>190</v>
      </c>
      <c r="B190" s="22" t="s">
        <v>44</v>
      </c>
      <c r="C190" s="29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22" t="s">
        <v>191</v>
      </c>
      <c r="B191" s="22" t="s">
        <v>44</v>
      </c>
      <c r="C191" s="29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39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39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35" t="s">
        <v>192</v>
      </c>
      <c r="B194" s="36"/>
      <c r="C194" s="41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22" t="s">
        <v>193</v>
      </c>
      <c r="B195" s="40" t="s">
        <v>44</v>
      </c>
      <c r="C195" s="38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22" t="s">
        <v>194</v>
      </c>
      <c r="B196" s="22" t="s">
        <v>44</v>
      </c>
      <c r="C196" s="20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22" t="s">
        <v>195</v>
      </c>
      <c r="B197" s="22" t="s">
        <v>44</v>
      </c>
      <c r="C197" s="20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22" t="s">
        <v>196</v>
      </c>
      <c r="B198" s="22" t="s">
        <v>44</v>
      </c>
      <c r="C198" s="29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22" t="s">
        <v>197</v>
      </c>
      <c r="B199" s="22" t="s">
        <v>44</v>
      </c>
      <c r="C199" s="29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22" t="s">
        <v>198</v>
      </c>
      <c r="B200" s="22" t="s">
        <v>44</v>
      </c>
      <c r="C200" s="29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22" t="s">
        <v>199</v>
      </c>
      <c r="B201" s="22" t="s">
        <v>44</v>
      </c>
      <c r="C201" s="29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39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39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35" t="s">
        <v>200</v>
      </c>
      <c r="B204" s="36"/>
      <c r="C204" s="41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22" t="s">
        <v>201</v>
      </c>
      <c r="B205" s="40" t="s">
        <v>44</v>
      </c>
      <c r="C205" s="38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22" t="s">
        <v>202</v>
      </c>
      <c r="B206" s="22" t="s">
        <v>44</v>
      </c>
      <c r="C206" s="20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22" t="s">
        <v>203</v>
      </c>
      <c r="B207" s="22" t="s">
        <v>44</v>
      </c>
      <c r="C207" s="20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22" t="s">
        <v>204</v>
      </c>
      <c r="B208" s="22" t="s">
        <v>44</v>
      </c>
      <c r="C208" s="29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22" t="s">
        <v>205</v>
      </c>
      <c r="B209" s="22" t="s">
        <v>44</v>
      </c>
      <c r="C209" s="29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22" t="s">
        <v>206</v>
      </c>
      <c r="B210" s="22" t="s">
        <v>44</v>
      </c>
      <c r="C210" s="29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22" t="s">
        <v>207</v>
      </c>
      <c r="B211" s="22" t="s">
        <v>44</v>
      </c>
      <c r="C211" s="29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39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39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35" t="s">
        <v>208</v>
      </c>
      <c r="B214" s="36"/>
      <c r="C214" s="41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22" t="s">
        <v>209</v>
      </c>
      <c r="B215" s="40" t="s">
        <v>44</v>
      </c>
      <c r="C215" s="38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22" t="s">
        <v>210</v>
      </c>
      <c r="B216" s="22" t="s">
        <v>44</v>
      </c>
      <c r="C216" s="20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22" t="s">
        <v>211</v>
      </c>
      <c r="B217" s="22" t="s">
        <v>44</v>
      </c>
      <c r="C217" s="20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22" t="s">
        <v>212</v>
      </c>
      <c r="B218" s="22" t="s">
        <v>44</v>
      </c>
      <c r="C218" s="29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22" t="s">
        <v>213</v>
      </c>
      <c r="B219" s="22" t="s">
        <v>44</v>
      </c>
      <c r="C219" s="29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22" t="s">
        <v>214</v>
      </c>
      <c r="B220" s="22" t="s">
        <v>44</v>
      </c>
      <c r="C220" s="29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22" t="s">
        <v>215</v>
      </c>
      <c r="B221" s="22" t="s">
        <v>44</v>
      </c>
      <c r="C221" s="29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39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39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35" t="s">
        <v>216</v>
      </c>
      <c r="B224" s="36"/>
      <c r="C224" s="41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22" t="s">
        <v>217</v>
      </c>
      <c r="B225" s="40" t="s">
        <v>44</v>
      </c>
      <c r="C225" s="38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22" t="s">
        <v>218</v>
      </c>
      <c r="B226" s="22" t="s">
        <v>44</v>
      </c>
      <c r="C226" s="20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22" t="s">
        <v>219</v>
      </c>
      <c r="B227" s="22" t="s">
        <v>44</v>
      </c>
      <c r="C227" s="20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22" t="s">
        <v>220</v>
      </c>
      <c r="B228" s="22" t="s">
        <v>44</v>
      </c>
      <c r="C228" s="29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22" t="s">
        <v>221</v>
      </c>
      <c r="B229" s="22" t="s">
        <v>44</v>
      </c>
      <c r="C229" s="29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22" t="s">
        <v>222</v>
      </c>
      <c r="B230" s="22" t="s">
        <v>44</v>
      </c>
      <c r="C230" s="29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22" t="s">
        <v>223</v>
      </c>
      <c r="B231" s="22" t="s">
        <v>44</v>
      </c>
      <c r="C231" s="29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39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39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35" t="s">
        <v>224</v>
      </c>
      <c r="B234" s="36"/>
      <c r="C234" s="41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22" t="s">
        <v>225</v>
      </c>
      <c r="B235" s="40" t="s">
        <v>44</v>
      </c>
      <c r="C235" s="38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22" t="s">
        <v>226</v>
      </c>
      <c r="B236" s="22" t="s">
        <v>44</v>
      </c>
      <c r="C236" s="20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22" t="s">
        <v>227</v>
      </c>
      <c r="B237" s="22" t="s">
        <v>44</v>
      </c>
      <c r="C237" s="20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22" t="s">
        <v>228</v>
      </c>
      <c r="B238" s="22" t="s">
        <v>44</v>
      </c>
      <c r="C238" s="29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22" t="s">
        <v>229</v>
      </c>
      <c r="B239" s="22" t="s">
        <v>44</v>
      </c>
      <c r="C239" s="29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22" t="s">
        <v>230</v>
      </c>
      <c r="B240" s="22" t="s">
        <v>44</v>
      </c>
      <c r="C240" s="29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22" t="s">
        <v>231</v>
      </c>
      <c r="B241" s="22" t="s">
        <v>44</v>
      </c>
      <c r="C241" s="29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39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39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35" t="s">
        <v>232</v>
      </c>
      <c r="B244" s="36"/>
      <c r="C244" s="41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22" t="s">
        <v>233</v>
      </c>
      <c r="B245" s="40" t="s">
        <v>44</v>
      </c>
      <c r="C245" s="38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22" t="s">
        <v>234</v>
      </c>
      <c r="B246" s="22" t="s">
        <v>44</v>
      </c>
      <c r="C246" s="20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22" t="s">
        <v>235</v>
      </c>
      <c r="B247" s="22" t="s">
        <v>44</v>
      </c>
      <c r="C247" s="20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22" t="s">
        <v>236</v>
      </c>
      <c r="B248" s="22" t="s">
        <v>44</v>
      </c>
      <c r="C248" s="29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22" t="s">
        <v>237</v>
      </c>
      <c r="B249" s="22" t="s">
        <v>44</v>
      </c>
      <c r="C249" s="29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22" t="s">
        <v>238</v>
      </c>
      <c r="B250" s="22" t="s">
        <v>44</v>
      </c>
      <c r="C250" s="29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22" t="s">
        <v>239</v>
      </c>
      <c r="B251" s="22" t="s">
        <v>44</v>
      </c>
      <c r="C251" s="29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39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39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35" t="s">
        <v>240</v>
      </c>
      <c r="B254" s="36"/>
      <c r="C254" s="41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22" t="s">
        <v>241</v>
      </c>
      <c r="B255" s="40" t="s">
        <v>44</v>
      </c>
      <c r="C255" s="38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22" t="s">
        <v>242</v>
      </c>
      <c r="B256" s="22" t="s">
        <v>44</v>
      </c>
      <c r="C256" s="20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22" t="s">
        <v>243</v>
      </c>
      <c r="B257" s="22" t="s">
        <v>44</v>
      </c>
      <c r="C257" s="20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22" t="s">
        <v>244</v>
      </c>
      <c r="B258" s="22" t="s">
        <v>44</v>
      </c>
      <c r="C258" s="29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22" t="s">
        <v>245</v>
      </c>
      <c r="B259" s="22" t="s">
        <v>44</v>
      </c>
      <c r="C259" s="29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22" t="s">
        <v>246</v>
      </c>
      <c r="B260" s="22" t="s">
        <v>44</v>
      </c>
      <c r="C260" s="29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22" t="s">
        <v>247</v>
      </c>
      <c r="B261" s="22" t="s">
        <v>44</v>
      </c>
      <c r="C261" s="29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39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39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35" t="s">
        <v>248</v>
      </c>
      <c r="B264" s="36"/>
      <c r="C264" s="41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22" t="s">
        <v>249</v>
      </c>
      <c r="B265" s="40" t="s">
        <v>44</v>
      </c>
      <c r="C265" s="38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22" t="s">
        <v>250</v>
      </c>
      <c r="B266" s="22" t="s">
        <v>44</v>
      </c>
      <c r="C266" s="20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22" t="s">
        <v>251</v>
      </c>
      <c r="B267" s="22" t="s">
        <v>44</v>
      </c>
      <c r="C267" s="20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22" t="s">
        <v>252</v>
      </c>
      <c r="B268" s="22" t="s">
        <v>44</v>
      </c>
      <c r="C268" s="29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22" t="s">
        <v>253</v>
      </c>
      <c r="B269" s="22" t="s">
        <v>44</v>
      </c>
      <c r="C269" s="29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22" t="s">
        <v>254</v>
      </c>
      <c r="B270" s="22" t="s">
        <v>44</v>
      </c>
      <c r="C270" s="29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22" t="s">
        <v>255</v>
      </c>
      <c r="B271" s="22" t="s">
        <v>44</v>
      </c>
      <c r="C271" s="29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39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39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35" t="s">
        <v>256</v>
      </c>
      <c r="B274" s="36"/>
      <c r="C274" s="41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22" t="s">
        <v>257</v>
      </c>
      <c r="B275" s="40" t="s">
        <v>44</v>
      </c>
      <c r="C275" s="38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22" t="s">
        <v>258</v>
      </c>
      <c r="B276" s="22" t="s">
        <v>44</v>
      </c>
      <c r="C276" s="20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22" t="s">
        <v>259</v>
      </c>
      <c r="B277" s="22" t="s">
        <v>44</v>
      </c>
      <c r="C277" s="20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22" t="s">
        <v>260</v>
      </c>
      <c r="B278" s="22" t="s">
        <v>44</v>
      </c>
      <c r="C278" s="29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22" t="s">
        <v>261</v>
      </c>
      <c r="B279" s="22" t="s">
        <v>44</v>
      </c>
      <c r="C279" s="29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22" t="s">
        <v>262</v>
      </c>
      <c r="B280" s="22" t="s">
        <v>44</v>
      </c>
      <c r="C280" s="29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22" t="s">
        <v>263</v>
      </c>
      <c r="B281" s="22" t="s">
        <v>44</v>
      </c>
      <c r="C281" s="29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39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39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35" t="s">
        <v>264</v>
      </c>
      <c r="B284" s="36"/>
      <c r="C284" s="41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22" t="s">
        <v>265</v>
      </c>
      <c r="B285" s="40" t="s">
        <v>44</v>
      </c>
      <c r="C285" s="38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22" t="s">
        <v>266</v>
      </c>
      <c r="B286" s="22" t="s">
        <v>44</v>
      </c>
      <c r="C286" s="20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22" t="s">
        <v>267</v>
      </c>
      <c r="B287" s="22" t="s">
        <v>44</v>
      </c>
      <c r="C287" s="20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22" t="s">
        <v>268</v>
      </c>
      <c r="B288" s="22" t="s">
        <v>44</v>
      </c>
      <c r="C288" s="29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22" t="s">
        <v>269</v>
      </c>
      <c r="B289" s="22" t="s">
        <v>44</v>
      </c>
      <c r="C289" s="29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22" t="s">
        <v>270</v>
      </c>
      <c r="B290" s="22" t="s">
        <v>44</v>
      </c>
      <c r="C290" s="29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22" t="s">
        <v>271</v>
      </c>
      <c r="B291" s="22" t="s">
        <v>44</v>
      </c>
      <c r="C291" s="29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39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39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35" t="s">
        <v>272</v>
      </c>
      <c r="B294" s="36"/>
      <c r="C294" s="41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22" t="s">
        <v>273</v>
      </c>
      <c r="B295" s="40" t="s">
        <v>44</v>
      </c>
      <c r="C295" s="38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22" t="s">
        <v>274</v>
      </c>
      <c r="B296" s="22" t="s">
        <v>44</v>
      </c>
      <c r="C296" s="20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22" t="s">
        <v>275</v>
      </c>
      <c r="B297" s="22" t="s">
        <v>44</v>
      </c>
      <c r="C297" s="20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22" t="s">
        <v>276</v>
      </c>
      <c r="B298" s="22" t="s">
        <v>44</v>
      </c>
      <c r="C298" s="29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22" t="s">
        <v>277</v>
      </c>
      <c r="B299" s="22" t="s">
        <v>44</v>
      </c>
      <c r="C299" s="29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22" t="s">
        <v>278</v>
      </c>
      <c r="B300" s="22" t="s">
        <v>44</v>
      </c>
      <c r="C300" s="29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22" t="s">
        <v>279</v>
      </c>
      <c r="B301" s="22" t="s">
        <v>44</v>
      </c>
      <c r="C301" s="29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39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39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35" t="s">
        <v>280</v>
      </c>
      <c r="B304" s="36"/>
      <c r="C304" s="41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22" t="s">
        <v>281</v>
      </c>
      <c r="B305" s="40" t="s">
        <v>44</v>
      </c>
      <c r="C305" s="38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22" t="s">
        <v>282</v>
      </c>
      <c r="B306" s="22" t="s">
        <v>44</v>
      </c>
      <c r="C306" s="20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22" t="s">
        <v>283</v>
      </c>
      <c r="B307" s="22" t="s">
        <v>44</v>
      </c>
      <c r="C307" s="20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22" t="s">
        <v>284</v>
      </c>
      <c r="B308" s="22" t="s">
        <v>44</v>
      </c>
      <c r="C308" s="29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22" t="s">
        <v>285</v>
      </c>
      <c r="B309" s="22" t="s">
        <v>44</v>
      </c>
      <c r="C309" s="29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22" t="s">
        <v>286</v>
      </c>
      <c r="B310" s="22" t="s">
        <v>44</v>
      </c>
      <c r="C310" s="29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22" t="s">
        <v>287</v>
      </c>
      <c r="B311" s="22" t="s">
        <v>44</v>
      </c>
      <c r="C311" s="29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39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39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35" t="s">
        <v>288</v>
      </c>
      <c r="B314" s="36"/>
      <c r="C314" s="41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22" t="s">
        <v>289</v>
      </c>
      <c r="B315" s="40" t="s">
        <v>44</v>
      </c>
      <c r="C315" s="38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22" t="s">
        <v>290</v>
      </c>
      <c r="B316" s="22" t="s">
        <v>44</v>
      </c>
      <c r="C316" s="20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22" t="s">
        <v>291</v>
      </c>
      <c r="B317" s="22" t="s">
        <v>44</v>
      </c>
      <c r="C317" s="20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22" t="s">
        <v>292</v>
      </c>
      <c r="B318" s="22" t="s">
        <v>44</v>
      </c>
      <c r="C318" s="29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22" t="s">
        <v>293</v>
      </c>
      <c r="B319" s="22" t="s">
        <v>44</v>
      </c>
      <c r="C319" s="29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22" t="s">
        <v>294</v>
      </c>
      <c r="B320" s="22" t="s">
        <v>44</v>
      </c>
      <c r="C320" s="29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22" t="s">
        <v>295</v>
      </c>
      <c r="B321" s="22" t="s">
        <v>44</v>
      </c>
      <c r="C321" s="29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39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39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35" t="s">
        <v>296</v>
      </c>
      <c r="B324" s="36"/>
      <c r="C324" s="41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22" t="s">
        <v>297</v>
      </c>
      <c r="B325" s="40" t="s">
        <v>44</v>
      </c>
      <c r="C325" s="38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22" t="s">
        <v>298</v>
      </c>
      <c r="B326" s="22" t="s">
        <v>44</v>
      </c>
      <c r="C326" s="20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22" t="s">
        <v>299</v>
      </c>
      <c r="B327" s="22" t="s">
        <v>44</v>
      </c>
      <c r="C327" s="20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22" t="s">
        <v>300</v>
      </c>
      <c r="B328" s="22" t="s">
        <v>44</v>
      </c>
      <c r="C328" s="29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22" t="s">
        <v>301</v>
      </c>
      <c r="B329" s="22" t="s">
        <v>44</v>
      </c>
      <c r="C329" s="29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22" t="s">
        <v>302</v>
      </c>
      <c r="B330" s="22" t="s">
        <v>44</v>
      </c>
      <c r="C330" s="29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22" t="s">
        <v>303</v>
      </c>
      <c r="B331" s="22" t="s">
        <v>44</v>
      </c>
      <c r="C331" s="29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39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39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35" t="s">
        <v>304</v>
      </c>
      <c r="B334" s="36"/>
      <c r="C334" s="41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22" t="s">
        <v>305</v>
      </c>
      <c r="B335" s="40" t="s">
        <v>44</v>
      </c>
      <c r="C335" s="38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22" t="s">
        <v>306</v>
      </c>
      <c r="B336" s="22" t="s">
        <v>44</v>
      </c>
      <c r="C336" s="20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22" t="s">
        <v>307</v>
      </c>
      <c r="B337" s="22" t="s">
        <v>44</v>
      </c>
      <c r="C337" s="20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22" t="s">
        <v>308</v>
      </c>
      <c r="B338" s="22" t="s">
        <v>44</v>
      </c>
      <c r="C338" s="29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22" t="s">
        <v>309</v>
      </c>
      <c r="B339" s="22" t="s">
        <v>44</v>
      </c>
      <c r="C339" s="29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22" t="s">
        <v>310</v>
      </c>
      <c r="B340" s="22" t="s">
        <v>44</v>
      </c>
      <c r="C340" s="29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22" t="s">
        <v>311</v>
      </c>
      <c r="B341" s="22" t="s">
        <v>44</v>
      </c>
      <c r="C341" s="29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39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39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35" t="s">
        <v>312</v>
      </c>
      <c r="B344" s="36"/>
      <c r="C344" s="41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22" t="s">
        <v>313</v>
      </c>
      <c r="B345" s="40" t="s">
        <v>44</v>
      </c>
      <c r="C345" s="38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22" t="s">
        <v>314</v>
      </c>
      <c r="B346" s="22" t="s">
        <v>44</v>
      </c>
      <c r="C346" s="20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22" t="s">
        <v>315</v>
      </c>
      <c r="B347" s="22" t="s">
        <v>44</v>
      </c>
      <c r="C347" s="20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22" t="s">
        <v>316</v>
      </c>
      <c r="B348" s="22" t="s">
        <v>44</v>
      </c>
      <c r="C348" s="29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22" t="s">
        <v>317</v>
      </c>
      <c r="B349" s="22" t="s">
        <v>44</v>
      </c>
      <c r="C349" s="29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22" t="s">
        <v>318</v>
      </c>
      <c r="B350" s="22" t="s">
        <v>44</v>
      </c>
      <c r="C350" s="29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22" t="s">
        <v>319</v>
      </c>
      <c r="B351" s="22" t="s">
        <v>44</v>
      </c>
      <c r="C351" s="29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39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39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35" t="s">
        <v>320</v>
      </c>
      <c r="B354" s="36"/>
      <c r="C354" s="41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22" t="s">
        <v>321</v>
      </c>
      <c r="B355" s="40" t="s">
        <v>44</v>
      </c>
      <c r="C355" s="38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22" t="s">
        <v>322</v>
      </c>
      <c r="B356" s="22" t="s">
        <v>44</v>
      </c>
      <c r="C356" s="20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22" t="s">
        <v>323</v>
      </c>
      <c r="B357" s="22" t="s">
        <v>44</v>
      </c>
      <c r="C357" s="20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22" t="s">
        <v>324</v>
      </c>
      <c r="B358" s="22" t="s">
        <v>44</v>
      </c>
      <c r="C358" s="29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22" t="s">
        <v>325</v>
      </c>
      <c r="B359" s="22" t="s">
        <v>44</v>
      </c>
      <c r="C359" s="29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22" t="s">
        <v>326</v>
      </c>
      <c r="B360" s="22" t="s">
        <v>44</v>
      </c>
      <c r="C360" s="29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22" t="s">
        <v>327</v>
      </c>
      <c r="B361" s="22" t="s">
        <v>44</v>
      </c>
      <c r="C361" s="29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39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39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35" t="s">
        <v>328</v>
      </c>
      <c r="B364" s="36"/>
      <c r="C364" s="41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22" t="s">
        <v>329</v>
      </c>
      <c r="B365" s="40" t="s">
        <v>44</v>
      </c>
      <c r="C365" s="38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22" t="s">
        <v>330</v>
      </c>
      <c r="B366" s="22" t="s">
        <v>44</v>
      </c>
      <c r="C366" s="20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22" t="s">
        <v>331</v>
      </c>
      <c r="B367" s="22" t="s">
        <v>44</v>
      </c>
      <c r="C367" s="20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22" t="s">
        <v>332</v>
      </c>
      <c r="B368" s="22" t="s">
        <v>44</v>
      </c>
      <c r="C368" s="29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22" t="s">
        <v>333</v>
      </c>
      <c r="B369" s="22" t="s">
        <v>44</v>
      </c>
      <c r="C369" s="29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22" t="s">
        <v>334</v>
      </c>
      <c r="B370" s="22" t="s">
        <v>44</v>
      </c>
      <c r="C370" s="29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22" t="s">
        <v>335</v>
      </c>
      <c r="B371" s="22" t="s">
        <v>44</v>
      </c>
      <c r="C371" s="29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39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39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35" t="s">
        <v>336</v>
      </c>
      <c r="B374" s="36"/>
      <c r="C374" s="41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22" t="s">
        <v>337</v>
      </c>
      <c r="B375" s="40" t="s">
        <v>44</v>
      </c>
      <c r="C375" s="38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22" t="s">
        <v>338</v>
      </c>
      <c r="B376" s="22" t="s">
        <v>44</v>
      </c>
      <c r="C376" s="20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22" t="s">
        <v>339</v>
      </c>
      <c r="B377" s="22" t="s">
        <v>44</v>
      </c>
      <c r="C377" s="20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22" t="s">
        <v>340</v>
      </c>
      <c r="B378" s="22" t="s">
        <v>44</v>
      </c>
      <c r="C378" s="29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22" t="s">
        <v>341</v>
      </c>
      <c r="B379" s="22" t="s">
        <v>44</v>
      </c>
      <c r="C379" s="29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22" t="s">
        <v>342</v>
      </c>
      <c r="B380" s="22" t="s">
        <v>44</v>
      </c>
      <c r="C380" s="29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22" t="s">
        <v>343</v>
      </c>
      <c r="B381" s="22" t="s">
        <v>44</v>
      </c>
      <c r="C381" s="29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39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39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35" t="s">
        <v>344</v>
      </c>
      <c r="B384" s="36"/>
      <c r="C384" s="41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22" t="s">
        <v>345</v>
      </c>
      <c r="B385" s="40" t="s">
        <v>44</v>
      </c>
      <c r="C385" s="38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22" t="s">
        <v>346</v>
      </c>
      <c r="B386" s="22" t="s">
        <v>44</v>
      </c>
      <c r="C386" s="20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22" t="s">
        <v>347</v>
      </c>
      <c r="B387" s="22" t="s">
        <v>44</v>
      </c>
      <c r="C387" s="20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22" t="s">
        <v>348</v>
      </c>
      <c r="B388" s="22" t="s">
        <v>44</v>
      </c>
      <c r="C388" s="29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22" t="s">
        <v>349</v>
      </c>
      <c r="B389" s="22" t="s">
        <v>44</v>
      </c>
      <c r="C389" s="29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22" t="s">
        <v>350</v>
      </c>
      <c r="B390" s="22" t="s">
        <v>44</v>
      </c>
      <c r="C390" s="29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22" t="s">
        <v>351</v>
      </c>
      <c r="B391" s="22" t="s">
        <v>44</v>
      </c>
      <c r="C391" s="29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39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39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35" t="s">
        <v>352</v>
      </c>
      <c r="B394" s="36"/>
      <c r="C394" s="41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22" t="s">
        <v>353</v>
      </c>
      <c r="B395" s="40" t="s">
        <v>44</v>
      </c>
      <c r="C395" s="38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22" t="s">
        <v>354</v>
      </c>
      <c r="B396" s="22" t="s">
        <v>44</v>
      </c>
      <c r="C396" s="20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22" t="s">
        <v>355</v>
      </c>
      <c r="B397" s="22" t="s">
        <v>44</v>
      </c>
      <c r="C397" s="20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22" t="s">
        <v>356</v>
      </c>
      <c r="B398" s="22" t="s">
        <v>44</v>
      </c>
      <c r="C398" s="29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22" t="s">
        <v>357</v>
      </c>
      <c r="B399" s="22" t="s">
        <v>44</v>
      </c>
      <c r="C399" s="29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22" t="s">
        <v>358</v>
      </c>
      <c r="B400" s="22" t="s">
        <v>44</v>
      </c>
      <c r="C400" s="29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22" t="s">
        <v>359</v>
      </c>
      <c r="B401" s="22" t="s">
        <v>44</v>
      </c>
      <c r="C401" s="29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39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39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35" t="s">
        <v>360</v>
      </c>
      <c r="B404" s="36"/>
      <c r="C404" s="41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22" t="s">
        <v>361</v>
      </c>
      <c r="B405" s="40" t="s">
        <v>44</v>
      </c>
      <c r="C405" s="38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22" t="s">
        <v>362</v>
      </c>
      <c r="B406" s="22" t="s">
        <v>44</v>
      </c>
      <c r="C406" s="20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22" t="s">
        <v>363</v>
      </c>
      <c r="B407" s="22" t="s">
        <v>44</v>
      </c>
      <c r="C407" s="20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22" t="s">
        <v>364</v>
      </c>
      <c r="B408" s="22" t="s">
        <v>44</v>
      </c>
      <c r="C408" s="29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22" t="s">
        <v>365</v>
      </c>
      <c r="B409" s="22" t="s">
        <v>44</v>
      </c>
      <c r="C409" s="29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22" t="s">
        <v>366</v>
      </c>
      <c r="B410" s="22" t="s">
        <v>44</v>
      </c>
      <c r="C410" s="29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22" t="s">
        <v>367</v>
      </c>
      <c r="B411" s="22" t="s">
        <v>44</v>
      </c>
      <c r="C411" s="29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39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39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35" t="s">
        <v>368</v>
      </c>
      <c r="B414" s="36"/>
      <c r="C414" s="41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22" t="s">
        <v>369</v>
      </c>
      <c r="B415" s="40" t="s">
        <v>44</v>
      </c>
      <c r="C415" s="38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22" t="s">
        <v>370</v>
      </c>
      <c r="B416" s="22" t="s">
        <v>44</v>
      </c>
      <c r="C416" s="20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22" t="s">
        <v>371</v>
      </c>
      <c r="B417" s="22" t="s">
        <v>44</v>
      </c>
      <c r="C417" s="20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22" t="s">
        <v>372</v>
      </c>
      <c r="B418" s="22" t="s">
        <v>44</v>
      </c>
      <c r="C418" s="29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22" t="s">
        <v>373</v>
      </c>
      <c r="B419" s="22" t="s">
        <v>44</v>
      </c>
      <c r="C419" s="29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22" t="s">
        <v>374</v>
      </c>
      <c r="B420" s="22" t="s">
        <v>44</v>
      </c>
      <c r="C420" s="29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22" t="s">
        <v>375</v>
      </c>
      <c r="B421" s="22" t="s">
        <v>44</v>
      </c>
      <c r="C421" s="29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39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39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35" t="s">
        <v>376</v>
      </c>
      <c r="B424" s="36"/>
      <c r="C424" s="41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22" t="s">
        <v>377</v>
      </c>
      <c r="B425" s="40" t="s">
        <v>44</v>
      </c>
      <c r="C425" s="38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22" t="s">
        <v>378</v>
      </c>
      <c r="B426" s="22" t="s">
        <v>44</v>
      </c>
      <c r="C426" s="20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22" t="s">
        <v>379</v>
      </c>
      <c r="B427" s="22" t="s">
        <v>44</v>
      </c>
      <c r="C427" s="20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22" t="s">
        <v>380</v>
      </c>
      <c r="B428" s="22" t="s">
        <v>44</v>
      </c>
      <c r="C428" s="29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22" t="s">
        <v>381</v>
      </c>
      <c r="B429" s="22" t="s">
        <v>44</v>
      </c>
      <c r="C429" s="29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22" t="s">
        <v>382</v>
      </c>
      <c r="B430" s="22" t="s">
        <v>44</v>
      </c>
      <c r="C430" s="29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22" t="s">
        <v>383</v>
      </c>
      <c r="B431" s="22" t="s">
        <v>44</v>
      </c>
      <c r="C431" s="29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39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39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35" t="s">
        <v>384</v>
      </c>
      <c r="B434" s="36"/>
      <c r="C434" s="41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22" t="s">
        <v>385</v>
      </c>
      <c r="B435" s="40" t="s">
        <v>44</v>
      </c>
      <c r="C435" s="38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22" t="s">
        <v>386</v>
      </c>
      <c r="B436" s="22" t="s">
        <v>44</v>
      </c>
      <c r="C436" s="20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22" t="s">
        <v>387</v>
      </c>
      <c r="B437" s="22" t="s">
        <v>44</v>
      </c>
      <c r="C437" s="20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22" t="s">
        <v>388</v>
      </c>
      <c r="B438" s="22" t="s">
        <v>44</v>
      </c>
      <c r="C438" s="29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22" t="s">
        <v>389</v>
      </c>
      <c r="B439" s="22" t="s">
        <v>44</v>
      </c>
      <c r="C439" s="29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22" t="s">
        <v>390</v>
      </c>
      <c r="B440" s="22" t="s">
        <v>44</v>
      </c>
      <c r="C440" s="29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22" t="s">
        <v>391</v>
      </c>
      <c r="B441" s="22" t="s">
        <v>44</v>
      </c>
      <c r="C441" s="29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39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39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35" t="s">
        <v>392</v>
      </c>
      <c r="B444" s="36"/>
      <c r="C444" s="41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22" t="s">
        <v>393</v>
      </c>
      <c r="B445" s="40" t="s">
        <v>44</v>
      </c>
      <c r="C445" s="38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22" t="s">
        <v>394</v>
      </c>
      <c r="B446" s="22" t="s">
        <v>44</v>
      </c>
      <c r="C446" s="20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22" t="s">
        <v>395</v>
      </c>
      <c r="B447" s="22" t="s">
        <v>44</v>
      </c>
      <c r="C447" s="20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22" t="s">
        <v>396</v>
      </c>
      <c r="B448" s="22" t="s">
        <v>44</v>
      </c>
      <c r="C448" s="29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22" t="s">
        <v>397</v>
      </c>
      <c r="B449" s="22" t="s">
        <v>44</v>
      </c>
      <c r="C449" s="29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22" t="s">
        <v>398</v>
      </c>
      <c r="B450" s="22" t="s">
        <v>44</v>
      </c>
      <c r="C450" s="29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22" t="s">
        <v>399</v>
      </c>
      <c r="B451" s="22" t="s">
        <v>44</v>
      </c>
      <c r="C451" s="29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39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39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35" t="s">
        <v>400</v>
      </c>
      <c r="B454" s="36"/>
      <c r="C454" s="41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22" t="s">
        <v>401</v>
      </c>
      <c r="B455" s="40" t="s">
        <v>44</v>
      </c>
      <c r="C455" s="38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22" t="s">
        <v>402</v>
      </c>
      <c r="B456" s="22" t="s">
        <v>44</v>
      </c>
      <c r="C456" s="20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22" t="s">
        <v>403</v>
      </c>
      <c r="B457" s="22" t="s">
        <v>44</v>
      </c>
      <c r="C457" s="20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22" t="s">
        <v>404</v>
      </c>
      <c r="B458" s="22" t="s">
        <v>44</v>
      </c>
      <c r="C458" s="29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22" t="s">
        <v>405</v>
      </c>
      <c r="B459" s="22" t="s">
        <v>44</v>
      </c>
      <c r="C459" s="29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22" t="s">
        <v>406</v>
      </c>
      <c r="B460" s="22" t="s">
        <v>44</v>
      </c>
      <c r="C460" s="29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22" t="s">
        <v>407</v>
      </c>
      <c r="B461" s="22" t="s">
        <v>44</v>
      </c>
      <c r="C461" s="29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39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39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35" t="s">
        <v>408</v>
      </c>
      <c r="B464" s="36"/>
      <c r="C464" s="41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22" t="s">
        <v>409</v>
      </c>
      <c r="B465" s="40" t="s">
        <v>44</v>
      </c>
      <c r="C465" s="38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22" t="s">
        <v>410</v>
      </c>
      <c r="B466" s="22" t="s">
        <v>44</v>
      </c>
      <c r="C466" s="20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22" t="s">
        <v>411</v>
      </c>
      <c r="B467" s="22" t="s">
        <v>44</v>
      </c>
      <c r="C467" s="20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22" t="s">
        <v>412</v>
      </c>
      <c r="B468" s="22" t="s">
        <v>44</v>
      </c>
      <c r="C468" s="29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22" t="s">
        <v>413</v>
      </c>
      <c r="B469" s="22" t="s">
        <v>44</v>
      </c>
      <c r="C469" s="29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22" t="s">
        <v>414</v>
      </c>
      <c r="B470" s="22" t="s">
        <v>44</v>
      </c>
      <c r="C470" s="29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22" t="s">
        <v>415</v>
      </c>
      <c r="B471" s="22" t="s">
        <v>44</v>
      </c>
      <c r="C471" s="29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39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39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35" t="s">
        <v>416</v>
      </c>
      <c r="B474" s="36"/>
      <c r="C474" s="41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22" t="s">
        <v>417</v>
      </c>
      <c r="B475" s="40" t="s">
        <v>44</v>
      </c>
      <c r="C475" s="38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22" t="s">
        <v>418</v>
      </c>
      <c r="B476" s="22" t="s">
        <v>44</v>
      </c>
      <c r="C476" s="20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22" t="s">
        <v>419</v>
      </c>
      <c r="B477" s="22" t="s">
        <v>44</v>
      </c>
      <c r="C477" s="20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22" t="s">
        <v>420</v>
      </c>
      <c r="B478" s="22" t="s">
        <v>44</v>
      </c>
      <c r="C478" s="29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22" t="s">
        <v>421</v>
      </c>
      <c r="B479" s="22" t="s">
        <v>44</v>
      </c>
      <c r="C479" s="29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22" t="s">
        <v>422</v>
      </c>
      <c r="B480" s="22" t="s">
        <v>44</v>
      </c>
      <c r="C480" s="29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22" t="s">
        <v>423</v>
      </c>
      <c r="B481" s="22" t="s">
        <v>44</v>
      </c>
      <c r="C481" s="29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39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39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35" t="s">
        <v>424</v>
      </c>
      <c r="B484" s="36"/>
      <c r="C484" s="41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22" t="s">
        <v>425</v>
      </c>
      <c r="B485" s="40" t="s">
        <v>44</v>
      </c>
      <c r="C485" s="38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22" t="s">
        <v>426</v>
      </c>
      <c r="B486" s="22" t="s">
        <v>44</v>
      </c>
      <c r="C486" s="20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22" t="s">
        <v>427</v>
      </c>
      <c r="B487" s="22" t="s">
        <v>44</v>
      </c>
      <c r="C487" s="20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22" t="s">
        <v>428</v>
      </c>
      <c r="B488" s="22" t="s">
        <v>44</v>
      </c>
      <c r="C488" s="29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22" t="s">
        <v>429</v>
      </c>
      <c r="B489" s="22" t="s">
        <v>44</v>
      </c>
      <c r="C489" s="29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22" t="s">
        <v>430</v>
      </c>
      <c r="B490" s="22" t="s">
        <v>44</v>
      </c>
      <c r="C490" s="29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22" t="s">
        <v>431</v>
      </c>
      <c r="B491" s="22" t="s">
        <v>44</v>
      </c>
      <c r="C491" s="29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39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39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35" t="s">
        <v>432</v>
      </c>
      <c r="B494" s="36"/>
      <c r="C494" s="41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22" t="s">
        <v>433</v>
      </c>
      <c r="B495" s="40" t="s">
        <v>44</v>
      </c>
      <c r="C495" s="38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22" t="s">
        <v>434</v>
      </c>
      <c r="B496" s="22" t="s">
        <v>44</v>
      </c>
      <c r="C496" s="20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22" t="s">
        <v>435</v>
      </c>
      <c r="B497" s="22" t="s">
        <v>44</v>
      </c>
      <c r="C497" s="20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22" t="s">
        <v>436</v>
      </c>
      <c r="B498" s="22" t="s">
        <v>44</v>
      </c>
      <c r="C498" s="29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22" t="s">
        <v>437</v>
      </c>
      <c r="B499" s="22" t="s">
        <v>44</v>
      </c>
      <c r="C499" s="29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22" t="s">
        <v>438</v>
      </c>
      <c r="B500" s="22" t="s">
        <v>44</v>
      </c>
      <c r="C500" s="29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22" t="s">
        <v>439</v>
      </c>
      <c r="B501" s="22" t="s">
        <v>44</v>
      </c>
      <c r="C501" s="29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39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39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35" t="s">
        <v>440</v>
      </c>
      <c r="B504" s="36"/>
      <c r="C504" s="41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22" t="s">
        <v>441</v>
      </c>
      <c r="B505" s="40" t="s">
        <v>44</v>
      </c>
      <c r="C505" s="38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22" t="s">
        <v>442</v>
      </c>
      <c r="B506" s="22" t="s">
        <v>44</v>
      </c>
      <c r="C506" s="20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22" t="s">
        <v>443</v>
      </c>
      <c r="B507" s="22" t="s">
        <v>44</v>
      </c>
      <c r="C507" s="20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22" t="s">
        <v>444</v>
      </c>
      <c r="B508" s="22" t="s">
        <v>44</v>
      </c>
      <c r="C508" s="29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22" t="s">
        <v>445</v>
      </c>
      <c r="B509" s="22" t="s">
        <v>44</v>
      </c>
      <c r="C509" s="29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22" t="s">
        <v>446</v>
      </c>
      <c r="B510" s="22" t="s">
        <v>44</v>
      </c>
      <c r="C510" s="29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22" t="s">
        <v>447</v>
      </c>
      <c r="B511" s="22" t="s">
        <v>44</v>
      </c>
      <c r="C511" s="29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39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39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35" t="s">
        <v>448</v>
      </c>
      <c r="B514" s="36"/>
      <c r="C514" s="41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22" t="s">
        <v>449</v>
      </c>
      <c r="B515" s="40" t="s">
        <v>44</v>
      </c>
      <c r="C515" s="38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22" t="s">
        <v>450</v>
      </c>
      <c r="B516" s="22" t="s">
        <v>44</v>
      </c>
      <c r="C516" s="20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22" t="s">
        <v>451</v>
      </c>
      <c r="B517" s="22" t="s">
        <v>44</v>
      </c>
      <c r="C517" s="20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22" t="s">
        <v>452</v>
      </c>
      <c r="B518" s="22" t="s">
        <v>44</v>
      </c>
      <c r="C518" s="29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22" t="s">
        <v>453</v>
      </c>
      <c r="B519" s="22" t="s">
        <v>44</v>
      </c>
      <c r="C519" s="29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22" t="s">
        <v>454</v>
      </c>
      <c r="B520" s="22" t="s">
        <v>44</v>
      </c>
      <c r="C520" s="29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22" t="s">
        <v>455</v>
      </c>
      <c r="B521" s="22" t="s">
        <v>44</v>
      </c>
      <c r="C521" s="29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39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</sheetData>
  <mergeCells count="3">
    <mergeCell ref="A1:A2"/>
    <mergeCell ref="B1:B2"/>
    <mergeCell ref="C1:C2"/>
  </mergeCells>
  <dataValidations>
    <dataValidation type="list" allowBlank="1" sqref="B5:B11 B15:B21 B25:B31 B35:B41 B45:B51 B55:B61 B65:B71 B75:B81 B85:B91 B95:B101 B105:B111 B115:B121 B125:B131 B135:B141 B145:B151 B155:B161 B165:B171 B175:B181 B185:B191 B195:B201 B205:B211 B215:B221 B225:B231 B235:B241 B245:B251 B255:B261 B265:B271 B275:B281 B285:B291 B295:B301 B305:B311 B315:B321 B325:B331 B335:B341 B345:B351 B355:B361 B365:B371 B375:B381 B385:B391 B395:B401 B405:B411 B415:B421 B425:B431 B435:B441 B445:B451 B455:B461 B465:B471 B475:B481 B485:B491 B495:B501 B505:B511 B515:B521">
      <formula1>"Click to select,UIC mate,Mentorship,Other people"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25"/>
    <col customWidth="1" min="2" max="2" width="14.0"/>
    <col customWidth="1" min="3" max="5" width="20.13"/>
    <col customWidth="1" min="6" max="7" width="20.75"/>
  </cols>
  <sheetData>
    <row r="1">
      <c r="A1" s="32" t="s">
        <v>461</v>
      </c>
      <c r="B1" s="44" t="s">
        <v>462</v>
      </c>
      <c r="C1" s="43">
        <f>D562</f>
        <v>0</v>
      </c>
      <c r="D1" s="45" t="s">
        <v>463</v>
      </c>
      <c r="E1" s="43">
        <f>D565</f>
        <v>0</v>
      </c>
      <c r="F1" s="45" t="s">
        <v>464</v>
      </c>
      <c r="G1" s="46" t="str">
        <f>D568</f>
        <v>#DIV/0!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1"/>
      <c r="B2" s="21"/>
      <c r="C2" s="21"/>
      <c r="D2" s="21"/>
      <c r="E2" s="21"/>
      <c r="F2" s="21"/>
      <c r="G2" s="21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7" t="s">
        <v>30</v>
      </c>
      <c r="B5" s="14" t="s">
        <v>465</v>
      </c>
      <c r="C5" s="14" t="s">
        <v>466</v>
      </c>
      <c r="D5" s="14" t="s">
        <v>467</v>
      </c>
      <c r="E5" s="14" t="s">
        <v>468</v>
      </c>
      <c r="F5" s="14" t="s">
        <v>469</v>
      </c>
      <c r="G5" s="48" t="s">
        <v>470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2" t="s">
        <v>128</v>
      </c>
      <c r="B6" s="49" t="s">
        <v>471</v>
      </c>
      <c r="C6" s="50" t="s">
        <v>44</v>
      </c>
      <c r="D6" s="50" t="s">
        <v>44</v>
      </c>
      <c r="E6" s="50" t="s">
        <v>44</v>
      </c>
      <c r="F6" s="50" t="s">
        <v>44</v>
      </c>
      <c r="G6" s="50" t="s">
        <v>44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2" t="s">
        <v>120</v>
      </c>
      <c r="B7" s="49" t="s">
        <v>471</v>
      </c>
      <c r="C7" s="50" t="s">
        <v>44</v>
      </c>
      <c r="D7" s="50" t="s">
        <v>44</v>
      </c>
      <c r="E7" s="50" t="s">
        <v>44</v>
      </c>
      <c r="F7" s="50" t="s">
        <v>44</v>
      </c>
      <c r="G7" s="50" t="s">
        <v>44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2" t="s">
        <v>112</v>
      </c>
      <c r="B8" s="49" t="s">
        <v>471</v>
      </c>
      <c r="C8" s="50" t="s">
        <v>44</v>
      </c>
      <c r="D8" s="50" t="s">
        <v>44</v>
      </c>
      <c r="E8" s="50" t="s">
        <v>44</v>
      </c>
      <c r="F8" s="50" t="s">
        <v>44</v>
      </c>
      <c r="G8" s="50" t="s">
        <v>44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2" t="s">
        <v>472</v>
      </c>
      <c r="B9" s="49" t="s">
        <v>471</v>
      </c>
      <c r="C9" s="50" t="s">
        <v>44</v>
      </c>
      <c r="D9" s="50" t="s">
        <v>44</v>
      </c>
      <c r="E9" s="50" t="s">
        <v>44</v>
      </c>
      <c r="F9" s="50" t="s">
        <v>44</v>
      </c>
      <c r="G9" s="50" t="s">
        <v>44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2" t="s">
        <v>473</v>
      </c>
      <c r="B10" s="49" t="s">
        <v>471</v>
      </c>
      <c r="C10" s="50" t="s">
        <v>44</v>
      </c>
      <c r="D10" s="50" t="s">
        <v>44</v>
      </c>
      <c r="E10" s="50" t="s">
        <v>44</v>
      </c>
      <c r="F10" s="50" t="s">
        <v>44</v>
      </c>
      <c r="G10" s="50" t="s">
        <v>44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2" t="s">
        <v>474</v>
      </c>
      <c r="B11" s="49" t="s">
        <v>471</v>
      </c>
      <c r="C11" s="50" t="s">
        <v>44</v>
      </c>
      <c r="D11" s="50" t="s">
        <v>44</v>
      </c>
      <c r="E11" s="50" t="s">
        <v>44</v>
      </c>
      <c r="F11" s="50" t="s">
        <v>44</v>
      </c>
      <c r="G11" s="50" t="s">
        <v>44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2" t="s">
        <v>475</v>
      </c>
      <c r="B12" s="49" t="s">
        <v>471</v>
      </c>
      <c r="C12" s="50" t="s">
        <v>44</v>
      </c>
      <c r="D12" s="50" t="s">
        <v>44</v>
      </c>
      <c r="E12" s="50" t="s">
        <v>44</v>
      </c>
      <c r="F12" s="50" t="s">
        <v>44</v>
      </c>
      <c r="G12" s="50" t="s">
        <v>44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1" t="s">
        <v>31</v>
      </c>
      <c r="B15" s="52"/>
      <c r="C15" s="53"/>
      <c r="D15" s="53"/>
      <c r="E15" s="53"/>
      <c r="F15" s="53"/>
      <c r="G15" s="54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2" t="s">
        <v>476</v>
      </c>
      <c r="B16" s="49" t="s">
        <v>471</v>
      </c>
      <c r="C16" s="55" t="s">
        <v>44</v>
      </c>
      <c r="D16" s="55" t="s">
        <v>44</v>
      </c>
      <c r="E16" s="55" t="s">
        <v>44</v>
      </c>
      <c r="F16" s="55" t="s">
        <v>44</v>
      </c>
      <c r="G16" s="55" t="s">
        <v>44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2" t="s">
        <v>477</v>
      </c>
      <c r="B17" s="56" t="s">
        <v>471</v>
      </c>
      <c r="C17" s="50" t="s">
        <v>44</v>
      </c>
      <c r="D17" s="50" t="s">
        <v>44</v>
      </c>
      <c r="E17" s="50" t="s">
        <v>44</v>
      </c>
      <c r="F17" s="50" t="s">
        <v>44</v>
      </c>
      <c r="G17" s="50" t="s">
        <v>44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2"/>
      <c r="B18" s="56"/>
      <c r="C18" s="57"/>
      <c r="D18" s="57"/>
      <c r="E18" s="57"/>
      <c r="F18" s="57"/>
      <c r="G18" s="50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2" t="s">
        <v>478</v>
      </c>
      <c r="B19" s="56" t="s">
        <v>471</v>
      </c>
      <c r="C19" s="50" t="s">
        <v>44</v>
      </c>
      <c r="D19" s="50" t="s">
        <v>44</v>
      </c>
      <c r="E19" s="50" t="s">
        <v>44</v>
      </c>
      <c r="F19" s="50" t="s">
        <v>44</v>
      </c>
      <c r="G19" s="50" t="s">
        <v>44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2" t="s">
        <v>479</v>
      </c>
      <c r="B20" s="56" t="s">
        <v>471</v>
      </c>
      <c r="C20" s="50" t="s">
        <v>44</v>
      </c>
      <c r="D20" s="50" t="s">
        <v>44</v>
      </c>
      <c r="E20" s="50" t="s">
        <v>44</v>
      </c>
      <c r="F20" s="50" t="s">
        <v>44</v>
      </c>
      <c r="G20" s="50" t="s">
        <v>44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1" t="s">
        <v>32</v>
      </c>
      <c r="B23" s="52"/>
      <c r="C23" s="53"/>
      <c r="D23" s="53"/>
      <c r="E23" s="53"/>
      <c r="F23" s="53"/>
      <c r="G23" s="54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2" t="s">
        <v>480</v>
      </c>
      <c r="B24" s="49" t="s">
        <v>471</v>
      </c>
      <c r="C24" s="55" t="s">
        <v>44</v>
      </c>
      <c r="D24" s="55" t="s">
        <v>44</v>
      </c>
      <c r="E24" s="55" t="s">
        <v>44</v>
      </c>
      <c r="F24" s="55" t="s">
        <v>44</v>
      </c>
      <c r="G24" s="55" t="s">
        <v>44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8" t="s">
        <v>481</v>
      </c>
      <c r="B25" s="56" t="s">
        <v>471</v>
      </c>
      <c r="C25" s="50" t="s">
        <v>44</v>
      </c>
      <c r="D25" s="50" t="s">
        <v>44</v>
      </c>
      <c r="E25" s="50" t="s">
        <v>44</v>
      </c>
      <c r="F25" s="50" t="s">
        <v>44</v>
      </c>
      <c r="G25" s="50" t="s">
        <v>44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8" t="s">
        <v>482</v>
      </c>
      <c r="B26" s="56" t="s">
        <v>471</v>
      </c>
      <c r="C26" s="50" t="s">
        <v>44</v>
      </c>
      <c r="D26" s="50" t="s">
        <v>44</v>
      </c>
      <c r="E26" s="50" t="s">
        <v>44</v>
      </c>
      <c r="F26" s="50" t="s">
        <v>44</v>
      </c>
      <c r="G26" s="50" t="s">
        <v>44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1" t="s">
        <v>33</v>
      </c>
      <c r="B29" s="52"/>
      <c r="C29" s="53"/>
      <c r="D29" s="53"/>
      <c r="E29" s="53"/>
      <c r="F29" s="53"/>
      <c r="G29" s="54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22" t="s">
        <v>483</v>
      </c>
      <c r="B30" s="49" t="s">
        <v>471</v>
      </c>
      <c r="C30" s="55" t="s">
        <v>44</v>
      </c>
      <c r="D30" s="55" t="s">
        <v>44</v>
      </c>
      <c r="E30" s="55" t="s">
        <v>44</v>
      </c>
      <c r="F30" s="55" t="s">
        <v>44</v>
      </c>
      <c r="G30" s="55" t="s">
        <v>44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22" t="s">
        <v>484</v>
      </c>
      <c r="B31" s="56" t="s">
        <v>471</v>
      </c>
      <c r="C31" s="50" t="s">
        <v>44</v>
      </c>
      <c r="D31" s="50" t="s">
        <v>44</v>
      </c>
      <c r="E31" s="50" t="s">
        <v>44</v>
      </c>
      <c r="F31" s="50" t="s">
        <v>44</v>
      </c>
      <c r="G31" s="50" t="s">
        <v>44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22" t="s">
        <v>485</v>
      </c>
      <c r="B32" s="56" t="s">
        <v>471</v>
      </c>
      <c r="C32" s="50" t="s">
        <v>44</v>
      </c>
      <c r="D32" s="50" t="s">
        <v>44</v>
      </c>
      <c r="E32" s="50" t="s">
        <v>44</v>
      </c>
      <c r="F32" s="50" t="s">
        <v>44</v>
      </c>
      <c r="G32" s="50" t="s">
        <v>44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22" t="s">
        <v>486</v>
      </c>
      <c r="B33" s="56" t="s">
        <v>471</v>
      </c>
      <c r="C33" s="50" t="s">
        <v>44</v>
      </c>
      <c r="D33" s="50" t="s">
        <v>44</v>
      </c>
      <c r="E33" s="50" t="s">
        <v>44</v>
      </c>
      <c r="F33" s="50" t="s">
        <v>44</v>
      </c>
      <c r="G33" s="50" t="s">
        <v>44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22" t="s">
        <v>487</v>
      </c>
      <c r="B34" s="56" t="s">
        <v>471</v>
      </c>
      <c r="C34" s="50" t="s">
        <v>44</v>
      </c>
      <c r="D34" s="50" t="s">
        <v>44</v>
      </c>
      <c r="E34" s="50" t="s">
        <v>44</v>
      </c>
      <c r="F34" s="50" t="s">
        <v>44</v>
      </c>
      <c r="G34" s="50" t="s">
        <v>44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22"/>
      <c r="B35" s="59"/>
      <c r="C35" s="57"/>
      <c r="D35" s="57"/>
      <c r="E35" s="57"/>
      <c r="F35" s="57"/>
      <c r="G35" s="50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22" t="s">
        <v>488</v>
      </c>
      <c r="B36" s="56" t="s">
        <v>471</v>
      </c>
      <c r="C36" s="50" t="s">
        <v>44</v>
      </c>
      <c r="D36" s="50" t="s">
        <v>44</v>
      </c>
      <c r="E36" s="50" t="s">
        <v>44</v>
      </c>
      <c r="F36" s="50" t="s">
        <v>44</v>
      </c>
      <c r="G36" s="50" t="s">
        <v>44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22" t="s">
        <v>489</v>
      </c>
      <c r="B37" s="56" t="s">
        <v>471</v>
      </c>
      <c r="C37" s="50" t="s">
        <v>44</v>
      </c>
      <c r="D37" s="50" t="s">
        <v>44</v>
      </c>
      <c r="E37" s="50" t="s">
        <v>44</v>
      </c>
      <c r="F37" s="50" t="s">
        <v>44</v>
      </c>
      <c r="G37" s="50" t="s">
        <v>44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2" t="s">
        <v>490</v>
      </c>
      <c r="B38" s="56" t="s">
        <v>471</v>
      </c>
      <c r="C38" s="50" t="s">
        <v>44</v>
      </c>
      <c r="D38" s="50" t="s">
        <v>44</v>
      </c>
      <c r="E38" s="50" t="s">
        <v>44</v>
      </c>
      <c r="F38" s="50" t="s">
        <v>44</v>
      </c>
      <c r="G38" s="50" t="s">
        <v>44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22" t="s">
        <v>491</v>
      </c>
      <c r="B39" s="56" t="s">
        <v>471</v>
      </c>
      <c r="C39" s="50" t="s">
        <v>44</v>
      </c>
      <c r="D39" s="50" t="s">
        <v>44</v>
      </c>
      <c r="E39" s="50" t="s">
        <v>44</v>
      </c>
      <c r="F39" s="50" t="s">
        <v>44</v>
      </c>
      <c r="G39" s="50" t="s">
        <v>44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2" t="s">
        <v>492</v>
      </c>
      <c r="B40" s="56" t="s">
        <v>471</v>
      </c>
      <c r="C40" s="50" t="s">
        <v>44</v>
      </c>
      <c r="D40" s="50" t="s">
        <v>44</v>
      </c>
      <c r="E40" s="50" t="s">
        <v>44</v>
      </c>
      <c r="F40" s="50" t="s">
        <v>44</v>
      </c>
      <c r="G40" s="50" t="s">
        <v>44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 t="b">
        <f t="shared" ref="D519:D525" si="1">if(G6="Yes", 1)</f>
        <v>0</v>
      </c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 t="b">
        <f t="shared" si="1"/>
        <v>0</v>
      </c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 t="b">
        <f t="shared" si="1"/>
        <v>0</v>
      </c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 t="b">
        <f t="shared" si="1"/>
        <v>0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 t="b">
        <f t="shared" si="1"/>
        <v>0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 t="b">
        <f t="shared" si="1"/>
        <v>0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 t="b">
        <f t="shared" si="1"/>
        <v>0</v>
      </c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 t="b">
        <f t="shared" ref="D529:D530" si="2">if(G16="Yes", 1)</f>
        <v>0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 t="b">
        <f t="shared" si="2"/>
        <v>0</v>
      </c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 t="b">
        <f t="shared" ref="D532:D533" si="3">if(G19="Yes", 1)</f>
        <v>0</v>
      </c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 t="b">
        <f t="shared" si="3"/>
        <v>0</v>
      </c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 t="b">
        <f t="shared" ref="D537:D539" si="4">if(G24="Yes", 1)</f>
        <v>0</v>
      </c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 t="b">
        <f t="shared" si="4"/>
        <v>0</v>
      </c>
      <c r="E538" s="5"/>
      <c r="F538" s="5">
        <f>sum(B6:B12)</f>
        <v>0</v>
      </c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 t="b">
        <f t="shared" si="4"/>
        <v>0</v>
      </c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 t="b">
        <f t="shared" ref="D543:D547" si="5">if(G30="Yes", 1)</f>
        <v>0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 t="b">
        <f t="shared" si="5"/>
        <v>0</v>
      </c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 t="b">
        <f t="shared" si="5"/>
        <v>0</v>
      </c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 t="b">
        <f t="shared" si="5"/>
        <v>0</v>
      </c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 t="b">
        <f t="shared" si="5"/>
        <v>0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>
        <f>sum(B16:B20)</f>
        <v>0</v>
      </c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 t="b">
        <f t="shared" ref="D549:D553" si="6">if(G36="Yes", 1)</f>
        <v>0</v>
      </c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 t="b">
        <f t="shared" si="6"/>
        <v>0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 t="b">
        <f t="shared" si="6"/>
        <v>0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 t="b">
        <f t="shared" si="6"/>
        <v>0</v>
      </c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 t="b">
        <f t="shared" si="6"/>
        <v>0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>
        <f>sum(B24:B26)</f>
        <v>0</v>
      </c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12" t="s">
        <v>493</v>
      </c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>
        <f>SUM(B6:B12, B16:B20, B24:B26, B30:B40)</f>
        <v>0</v>
      </c>
      <c r="E562" s="5"/>
      <c r="F562" s="5">
        <f>sum(B30:B40)</f>
        <v>0</v>
      </c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12" t="s">
        <v>494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>
        <f>SUM(D519:D553)</f>
        <v>0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12" t="s">
        <v>495</v>
      </c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60" t="str">
        <f>D565/D562</f>
        <v>#DIV/0!</v>
      </c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</sheetData>
  <mergeCells count="7">
    <mergeCell ref="A1:A2"/>
    <mergeCell ref="B1:B2"/>
    <mergeCell ref="C1:C2"/>
    <mergeCell ref="D1:D2"/>
    <mergeCell ref="E1:E2"/>
    <mergeCell ref="F1:F2"/>
    <mergeCell ref="G1:G2"/>
  </mergeCells>
  <dataValidations>
    <dataValidation type="list" allowBlank="1" sqref="G6:G12 G16:G17 G19:G20 G24:G26 G30:G34 G36:G40">
      <formula1>"Click to select,Yes,No"</formula1>
    </dataValidation>
    <dataValidation type="list" allowBlank="1" sqref="C6:F12 C16:F17 C19:F20 C24:F26 C30:F34 C36:F40">
      <formula1>"Click to select,2.5,3.0,3.5,4.0,4.5,5.0,5.5,6.0,6.5,7.0,7.5,8.0,8.5,9.0"</formula1>
    </dataValidation>
  </dataValidations>
  <drawing r:id="rId1"/>
</worksheet>
</file>